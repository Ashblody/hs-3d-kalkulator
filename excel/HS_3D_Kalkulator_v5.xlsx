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lkulator" sheetId="1" state="visible" r:id="rId1"/>
    <sheet xmlns:r="http://schemas.openxmlformats.org/officeDocument/2006/relationships" name="Tiskalniki" sheetId="2" state="visible" r:id="rId2"/>
    <sheet xmlns:r="http://schemas.openxmlformats.org/officeDocument/2006/relationships" name="Materiali" sheetId="3" state="visible" r:id="rId3"/>
    <sheet xmlns:r="http://schemas.openxmlformats.org/officeDocument/2006/relationships" name="Cenik storitev" sheetId="4" state="visible" r:id="rId4"/>
    <sheet xmlns:r="http://schemas.openxmlformats.org/officeDocument/2006/relationships" name="Poslovne nastavitve" sheetId="5" state="visible" r:id="rId5"/>
    <sheet xmlns:r="http://schemas.openxmlformats.org/officeDocument/2006/relationships" name="Datoteke" sheetId="6" state="visible" r:id="rId6"/>
    <sheet xmlns:r="http://schemas.openxmlformats.org/officeDocument/2006/relationships" name="Projekti" sheetId="7" state="visible" r:id="rId7"/>
  </sheets>
  <definedNames/>
  <calcPr calcId="124519" fullCalcOnLoad="1"/>
</workbook>
</file>

<file path=xl/styles.xml><?xml version="1.0" encoding="utf-8"?>
<styleSheet xmlns="http://schemas.openxmlformats.org/spreadsheetml/2006/main">
  <numFmts count="8">
    <numFmt numFmtId="164" formatCode="#,##0.00 &quot;€&quot;"/>
    <numFmt numFmtId="165" formatCode="0.0000 &quot;€/h&quot;"/>
    <numFmt numFmtId="166" formatCode="0.00 &quot;€/h&quot;"/>
    <numFmt numFmtId="167" formatCode="yyyy-mm-dd"/>
    <numFmt numFmtId="168" formatCode="DD.MM.YYYY"/>
    <numFmt numFmtId="169" formatCode="0.000"/>
    <numFmt numFmtId="170" formatCode="0.0000"/>
    <numFmt numFmtId="171" formatCode="0.00 %"/>
  </numFmts>
  <fonts count="17">
    <font>
      <name val="Calibri"/>
      <family val="2"/>
      <color theme="1"/>
      <sz val="11"/>
      <scheme val="minor"/>
    </font>
    <font>
      <b val="1"/>
      <color rgb="000F172A"/>
      <sz val="16"/>
    </font>
    <font>
      <b val="1"/>
      <color rgb="00FFFFFF"/>
    </font>
    <font>
      <i val="1"/>
      <color rgb="0064748B"/>
    </font>
    <font>
      <b val="1"/>
      <color rgb="009A3412"/>
    </font>
    <font>
      <b val="1"/>
      <sz val="12"/>
    </font>
    <font>
      <b val="1"/>
      <color rgb="00059669"/>
    </font>
    <font>
      <b val="1"/>
      <color rgb="00EA580C"/>
    </font>
    <font>
      <b val="1"/>
    </font>
    <font>
      <b val="1"/>
      <color rgb="000F172A"/>
      <sz val="20"/>
    </font>
    <font>
      <b val="1"/>
      <color rgb="000284C7"/>
      <sz val="12"/>
    </font>
    <font>
      <b val="1"/>
      <color rgb="0064748B"/>
    </font>
    <font>
      <b val="1"/>
      <color rgb="0064748B"/>
      <sz val="9"/>
    </font>
    <font>
      <b val="1"/>
      <color rgb="00059669"/>
      <sz val="18"/>
    </font>
    <font>
      <b val="1"/>
      <color rgb="000284C7"/>
      <sz val="18"/>
    </font>
    <font>
      <b val="1"/>
      <color rgb="000F172A"/>
      <sz val="18"/>
    </font>
    <font>
      <i val="1"/>
      <color rgb="0064748B"/>
      <sz val="9"/>
    </font>
  </fonts>
  <fills count="5">
    <fill>
      <patternFill/>
    </fill>
    <fill>
      <patternFill patternType="gray125"/>
    </fill>
    <fill>
      <patternFill patternType="solid">
        <fgColor rgb="000F172A"/>
      </patternFill>
    </fill>
    <fill>
      <patternFill patternType="solid">
        <fgColor rgb="00FFF1E0"/>
      </patternFill>
    </fill>
    <fill>
      <patternFill patternType="solid">
        <fgColor rgb="00F0FDF4"/>
      </patternFill>
    </fill>
  </fills>
  <borders count="3">
    <border>
      <left/>
      <right/>
      <top/>
      <bottom/>
      <diagonal/>
    </border>
    <border>
      <left style="thin">
        <color rgb="00F59E0B"/>
      </left>
      <right style="thin">
        <color rgb="00F59E0B"/>
      </right>
      <top style="thin">
        <color rgb="00F59E0B"/>
      </top>
      <bottom style="thin">
        <color rgb="00F59E0B"/>
      </bottom>
    </border>
    <border>
      <bottom style="thin">
        <color rgb="00E2E8F0"/>
      </bottom>
    </border>
  </borders>
  <cellStyleXfs count="1">
    <xf numFmtId="0" fontId="0" fillId="0" borderId="0"/>
  </cellStyleXfs>
  <cellXfs count="39">
    <xf numFmtId="0" fontId="0" fillId="0" borderId="0" pivotButton="0" quotePrefix="0" xfId="0"/>
    <xf numFmtId="0" fontId="1" fillId="0" borderId="0" pivotButton="0" quotePrefix="0" xfId="0"/>
    <xf numFmtId="0" fontId="9" fillId="0" borderId="0" pivotButton="0" quotePrefix="0" xfId="0"/>
    <xf numFmtId="0" fontId="3" fillId="0" borderId="0" pivotButton="0" quotePrefix="0" xfId="0"/>
    <xf numFmtId="0" fontId="10" fillId="0" borderId="0" pivotButton="0" quotePrefix="0" xfId="0"/>
    <xf numFmtId="0" fontId="12" fillId="4" borderId="0" applyAlignment="1" pivotButton="0" quotePrefix="0" xfId="0">
      <alignment horizontal="center"/>
    </xf>
    <xf numFmtId="0" fontId="4" fillId="3" borderId="1" pivotButton="0" quotePrefix="0" xfId="0"/>
    <xf numFmtId="164" fontId="13" fillId="4" borderId="0" applyAlignment="1" pivotButton="0" quotePrefix="0" xfId="0">
      <alignment horizontal="center"/>
    </xf>
    <xf numFmtId="164" fontId="14" fillId="4" borderId="0" applyAlignment="1" pivotButton="0" quotePrefix="0" xfId="0">
      <alignment horizontal="center"/>
    </xf>
    <xf numFmtId="0" fontId="16" fillId="0" borderId="0" pivotButton="0" quotePrefix="0" xfId="0"/>
    <xf numFmtId="168" fontId="4" fillId="3" borderId="1" pivotButton="0" quotePrefix="0" xfId="0"/>
    <xf numFmtId="164" fontId="15" fillId="4" borderId="0" applyAlignment="1" pivotButton="0" quotePrefix="0" xfId="0">
      <alignment horizontal="center"/>
    </xf>
    <xf numFmtId="166" fontId="14" fillId="4" borderId="0" applyAlignment="1" pivotButton="0" quotePrefix="0" xfId="0">
      <alignment horizontal="center"/>
    </xf>
    <xf numFmtId="1" fontId="4" fillId="3" borderId="1" pivotButton="0" quotePrefix="0" xfId="0"/>
    <xf numFmtId="4" fontId="0" fillId="0" borderId="2" pivotButton="0" quotePrefix="0" xfId="0"/>
    <xf numFmtId="4" fontId="4" fillId="3" borderId="1" pivotButton="0" quotePrefix="0" xfId="0"/>
    <xf numFmtId="169" fontId="0" fillId="0" borderId="2" pivotButton="0" quotePrefix="0" xfId="0"/>
    <xf numFmtId="0" fontId="0" fillId="0" borderId="2" pivotButton="0" quotePrefix="0" xfId="0"/>
    <xf numFmtId="164" fontId="0" fillId="0" borderId="2" pivotButton="0" quotePrefix="0" xfId="0"/>
    <xf numFmtId="1" fontId="0" fillId="0" borderId="2" pivotButton="0" quotePrefix="0" xfId="0"/>
    <xf numFmtId="170" fontId="0" fillId="0" borderId="2" pivotButton="0" quotePrefix="0" xfId="0"/>
    <xf numFmtId="0" fontId="11" fillId="0" borderId="0" pivotButton="0" quotePrefix="0" xfId="0"/>
    <xf numFmtId="164" fontId="4" fillId="3" borderId="1" pivotButton="0" quotePrefix="0" xfId="0"/>
    <xf numFmtId="0" fontId="8" fillId="0" borderId="0" pivotButton="0" quotePrefix="0" xfId="0"/>
    <xf numFmtId="164" fontId="8" fillId="0" borderId="2" pivotButton="0" quotePrefix="0" xfId="0"/>
    <xf numFmtId="171" fontId="0" fillId="0" borderId="2" pivotButton="0" quotePrefix="0" xfId="0"/>
    <xf numFmtId="164" fontId="0" fillId="0" borderId="0" pivotButton="0" quotePrefix="0" xfId="0"/>
    <xf numFmtId="166" fontId="0" fillId="0" borderId="2" pivotButton="0" quotePrefix="0" xfId="0"/>
    <xf numFmtId="0" fontId="7" fillId="0" borderId="2" pivotButton="0" quotePrefix="0" xfId="0"/>
    <xf numFmtId="0" fontId="2" fillId="2" borderId="0" applyAlignment="1" pivotButton="0" quotePrefix="0" xfId="0">
      <alignment vertical="center" wrapText="1"/>
    </xf>
    <xf numFmtId="3" fontId="4" fillId="3" borderId="1" pivotButton="0" quotePrefix="0" xfId="0"/>
    <xf numFmtId="165" fontId="0" fillId="0" borderId="0" pivotButton="0" quotePrefix="0" xfId="0"/>
    <xf numFmtId="0" fontId="5" fillId="0" borderId="0" pivotButton="0" quotePrefix="0" xfId="0"/>
    <xf numFmtId="164" fontId="6" fillId="0" borderId="0" pivotButton="0" quotePrefix="0" xfId="0"/>
    <xf numFmtId="166" fontId="0" fillId="0" borderId="0" pivotButton="0" quotePrefix="0" xfId="0"/>
    <xf numFmtId="0" fontId="7" fillId="0" borderId="0" pivotButton="0" quotePrefix="0" xfId="0"/>
    <xf numFmtId="4" fontId="0" fillId="0" borderId="0" pivotButton="0" quotePrefix="0" xfId="0"/>
    <xf numFmtId="1"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Struktura cene</a:t>
            </a:r>
          </a:p>
        </rich>
      </tx>
    </title>
    <plotArea>
      <pieChart>
        <varyColors val="1"/>
        <ser>
          <idx val="0"/>
          <order val="0"/>
          <spPr>
            <a:ln xmlns:a="http://schemas.openxmlformats.org/drawingml/2006/main">
              <a:prstDash val="solid"/>
            </a:ln>
          </spPr>
          <cat>
            <numRef>
              <f>'Kalkulator'!$J$31:$J$38</f>
            </numRef>
          </cat>
          <val>
            <numRef>
              <f>'Kalkulator'!$K$31:$K$38</f>
            </numRef>
          </val>
        </ser>
        <dLbls>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Prodajna cena in stroški</a:t>
            </a:r>
          </a:p>
        </rich>
      </tx>
    </title>
    <plotArea>
      <barChart>
        <barDir val="bar"/>
        <grouping val="clustered"/>
        <ser>
          <idx val="0"/>
          <order val="0"/>
          <spPr>
            <a:ln xmlns:a="http://schemas.openxmlformats.org/drawingml/2006/main">
              <a:prstDash val="solid"/>
            </a:ln>
          </spPr>
          <cat>
            <numRef>
              <f>'Kalkulator'!$J$42:$J$45</f>
            </numRef>
          </cat>
          <val>
            <numRef>
              <f>'Kalkulator'!$K$42:$K$45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2</row>
      <rowOff>0</rowOff>
    </from>
    <ext cx="46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48</row>
      <rowOff>0</rowOff>
    </from>
    <ext cx="46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97316"/>
    <outlinePr summaryBelow="1" summaryRight="1"/>
    <pageSetUpPr/>
  </sheetPr>
  <dimension ref="A1:K54"/>
  <sheetViews>
    <sheetView showGridLines="0" workbookViewId="0">
      <pane ySplit="2" topLeftCell="A3" activePane="bottomLeft" state="frozen"/>
      <selection pane="bottomLeft" activeCell="A1" sqref="A1"/>
    </sheetView>
  </sheetViews>
  <sheetFormatPr baseColWidth="8" defaultRowHeight="15"/>
  <cols>
    <col width="2" customWidth="1" min="1" max="1"/>
    <col width="34" customWidth="1" min="2" max="2"/>
    <col width="24" customWidth="1" min="3" max="3"/>
    <col width="3" customWidth="1" min="4" max="4"/>
    <col width="34" customWidth="1" min="5" max="5"/>
    <col width="16" customWidth="1" min="6" max="6"/>
    <col width="16" customWidth="1" min="7" max="7"/>
    <col width="16" customWidth="1" min="8" max="8"/>
    <col width="18" customWidth="1" min="10" max="10"/>
    <col width="12" customWidth="1" min="11" max="11"/>
  </cols>
  <sheetData>
    <row r="1">
      <c r="A1" s="1" t="n"/>
      <c r="B1" s="2" t="inlineStr">
        <is>
          <t>HS 3D Kalkulator</t>
        </is>
      </c>
    </row>
    <row r="2">
      <c r="B2" s="3" t="inlineStr">
        <is>
          <t>Oranžna polja spreminjaš, ostalo se izračuna samo.</t>
        </is>
      </c>
    </row>
    <row r="3">
      <c r="B3" s="4" t="inlineStr">
        <is>
          <t>Podatki o projektu</t>
        </is>
      </c>
      <c r="E3" s="5" t="inlineStr">
        <is>
          <t>KONČNA CENA</t>
        </is>
      </c>
      <c r="G3" s="5" t="inlineStr">
        <is>
          <t>CENA NA KOS</t>
        </is>
      </c>
    </row>
    <row r="4" ht="28" customHeight="1">
      <c r="B4" t="inlineStr">
        <is>
          <t>Ime projekta</t>
        </is>
      </c>
      <c r="C4" s="6" t="inlineStr">
        <is>
          <t>Nosilci lučk – 2 leva + 2 desna</t>
        </is>
      </c>
      <c r="E4" s="7">
        <f>F44</f>
        <v/>
      </c>
      <c r="G4" s="8">
        <f>F45</f>
        <v/>
      </c>
    </row>
    <row r="5">
      <c r="B5" t="inlineStr">
        <is>
          <t>Stranka</t>
        </is>
      </c>
      <c r="C5" s="6" t="inlineStr">
        <is>
          <t>Demo</t>
        </is>
      </c>
      <c r="E5" s="9">
        <f>IF($C$7="Zase","Zase: prikazani so dejanski stroški",IF(F41,"Upoštevano minimalno naročilo",IF('Poslovne nastavitve'!$B$8="DA","Z DDV","DDV ni obračunan")))</f>
        <v/>
      </c>
    </row>
    <row r="6">
      <c r="B6" t="inlineStr">
        <is>
          <t>Datum</t>
        </is>
      </c>
      <c r="C6" s="10" t="n">
        <v>46320</v>
      </c>
      <c r="E6" s="5" t="inlineStr">
        <is>
          <t>STROŠKI TISKANJA</t>
        </is>
      </c>
      <c r="G6" s="5" t="inlineStr">
        <is>
          <t>VREDNOST STORITEV</t>
        </is>
      </c>
    </row>
    <row r="7" ht="28" customHeight="1">
      <c r="B7" t="inlineStr">
        <is>
          <t>Način obračuna</t>
        </is>
      </c>
      <c r="C7" s="6" t="inlineStr">
        <is>
          <t>Stranka</t>
        </is>
      </c>
      <c r="E7" s="11">
        <f>F26</f>
        <v/>
      </c>
      <c r="G7" s="11">
        <f>IF($C$7="Zase",F48,F35+F36)</f>
        <v/>
      </c>
    </row>
    <row r="8">
      <c r="B8" t="inlineStr">
        <is>
          <t>Vrsta naročila</t>
        </is>
      </c>
      <c r="C8" s="6" t="inlineStr">
        <is>
          <t>Kombinirano</t>
        </is>
      </c>
    </row>
    <row r="9">
      <c r="B9" s="4" t="inlineStr">
        <is>
          <t>3D-tiskanje</t>
        </is>
      </c>
      <c r="E9" s="5" t="inlineStr">
        <is>
          <t>PREDVIDENI ZASLUŽEK</t>
        </is>
      </c>
      <c r="G9" s="5" t="inlineStr">
        <is>
          <t>ZASLUŽEK NA URO</t>
        </is>
      </c>
    </row>
    <row r="10" ht="28" customHeight="1">
      <c r="B10" t="inlineStr">
        <is>
          <t>Tiskalnik</t>
        </is>
      </c>
      <c r="C10" s="6" t="inlineStr">
        <is>
          <t>Bambu Lab X2D Combo</t>
        </is>
      </c>
      <c r="E10" s="7">
        <f>F52</f>
        <v/>
      </c>
      <c r="G10" s="12">
        <f>F53</f>
        <v/>
      </c>
    </row>
    <row r="11">
      <c r="B11" t="inlineStr">
        <is>
          <t>Material</t>
        </is>
      </c>
      <c r="C11" s="6" t="inlineStr">
        <is>
          <t>Bambu ASA</t>
        </is>
      </c>
      <c r="E11" s="4" t="inlineStr">
        <is>
          <t>Izračun</t>
        </is>
      </c>
    </row>
    <row r="12">
      <c r="B12" t="inlineStr">
        <is>
          <t>Število kosov</t>
        </is>
      </c>
      <c r="C12" s="13" t="n">
        <v>4</v>
      </c>
      <c r="E12" t="inlineStr">
        <is>
          <t>Čas tiska skupaj (h)</t>
        </is>
      </c>
      <c r="F12" s="14">
        <f>IF($C$16="DA",$C$17+$C$18/60,$C$12*($C$14+$C$15/60))</f>
        <v/>
      </c>
    </row>
    <row r="13">
      <c r="B13" t="inlineStr">
        <is>
          <t>Teža kosa (g)</t>
        </is>
      </c>
      <c r="C13" s="15" t="n">
        <v>192</v>
      </c>
      <c r="E13" t="inlineStr">
        <is>
          <t>Filament skupaj (kg)</t>
        </is>
      </c>
      <c r="F13" s="16">
        <f>($C$12*$C$13+$C$19)/1000</f>
        <v/>
      </c>
    </row>
    <row r="14">
      <c r="B14" t="inlineStr">
        <is>
          <t>Čas kosa – ure</t>
        </is>
      </c>
      <c r="C14" s="15" t="n">
        <v>4</v>
      </c>
      <c r="E14" t="inlineStr">
        <is>
          <t>Vrsta materiala</t>
        </is>
      </c>
      <c r="F14" s="17">
        <f>INDEX(Materiali!$C:$C,MATCH($C$11,Materiali!$A:$A,0))</f>
        <v/>
      </c>
    </row>
    <row r="15">
      <c r="B15" t="inlineStr">
        <is>
          <t>Čas kosa – minute</t>
        </is>
      </c>
      <c r="C15" s="15" t="n">
        <v>42</v>
      </c>
      <c r="E15" t="inlineStr">
        <is>
          <t>Cena materiala €/kg</t>
        </is>
      </c>
      <c r="F15" s="18">
        <f>INDEX(Materiali!$H:$H,MATCH($C$11,Materiali!$A:$A,0))</f>
        <v/>
      </c>
    </row>
    <row r="16">
      <c r="B16" t="inlineStr">
        <is>
          <t>Vnesem skupen čas serije</t>
        </is>
      </c>
      <c r="C16" s="6" t="inlineStr">
        <is>
          <t>NE</t>
        </is>
      </c>
      <c r="E16" t="inlineStr">
        <is>
          <t>Vrstica tiskalnika</t>
        </is>
      </c>
      <c r="F16" s="19">
        <f>MATCH($C$10,Tiskalniki!$A:$A,0)</f>
        <v/>
      </c>
    </row>
    <row r="17">
      <c r="B17" t="inlineStr">
        <is>
          <t>Skupen čas – ure</t>
        </is>
      </c>
      <c r="C17" s="15" t="n">
        <v>0</v>
      </c>
      <c r="E17" t="inlineStr">
        <is>
          <t>Moč (W)</t>
        </is>
      </c>
      <c r="F17" s="19">
        <f>IFERROR(IF(ISNUMBER(INDEX(Tiskalniki!$F:$K,F16,MATCH(F14,Tiskalniki!$F$3:$K$3,0))),INDEX(Tiskalniki!$F:$K,F16,MATCH(F14,Tiskalniki!$F$3:$K$3,0)),N(INDEX(Tiskalniki!$E:$E,F16))),N(INDEX(Tiskalniki!$E:$E,F16)))</f>
        <v/>
      </c>
    </row>
    <row r="18">
      <c r="B18" t="inlineStr">
        <is>
          <t>Skupen čas – minute</t>
        </is>
      </c>
      <c r="C18" s="15" t="n">
        <v>0</v>
      </c>
      <c r="E18" t="inlineStr">
        <is>
          <t>Amortizacija €/h</t>
        </is>
      </c>
      <c r="F18" s="20">
        <f>INDEX(Tiskalniki!$L:$L,F16)</f>
        <v/>
      </c>
    </row>
    <row r="19">
      <c r="B19" t="inlineStr">
        <is>
          <t>Dodatna poraba (podpore, purge, AMS) g</t>
        </is>
      </c>
      <c r="C19" s="15" t="n">
        <v>0</v>
      </c>
      <c r="E19" s="21" t="inlineStr">
        <is>
          <t>1. Stroški tiskanja</t>
        </is>
      </c>
    </row>
    <row r="20">
      <c r="B20" t="inlineStr">
        <is>
          <t>Potrošni material (lepilo …) €</t>
        </is>
      </c>
      <c r="C20" s="22" t="n">
        <v>3.4</v>
      </c>
      <c r="E20" t="inlineStr">
        <is>
          <t>Material</t>
        </is>
      </c>
      <c r="F20" s="18">
        <f>F13*F15</f>
        <v/>
      </c>
    </row>
    <row r="21">
      <c r="B21" t="inlineStr">
        <is>
          <t>Ostali neposredni stroški tiska €</t>
        </is>
      </c>
      <c r="C21" s="22" t="n">
        <v>0</v>
      </c>
      <c r="E21" t="inlineStr">
        <is>
          <t>Elektrika</t>
        </is>
      </c>
      <c r="F21" s="18">
        <f>F12*F17/1000*'Poslovne nastavitve'!$B$6</f>
        <v/>
      </c>
    </row>
    <row r="22">
      <c r="B22" t="inlineStr">
        <is>
          <t>Rezerva za neuspele tiske %</t>
        </is>
      </c>
      <c r="C22" s="15">
        <f>'Cenik storitev'!$B$11</f>
        <v/>
      </c>
      <c r="E22" t="inlineStr">
        <is>
          <t>Amortizacija tiskalnika</t>
        </is>
      </c>
      <c r="F22" s="18">
        <f>F12*F18</f>
        <v/>
      </c>
    </row>
    <row r="23">
      <c r="B23" t="inlineStr">
        <is>
          <t>Pribitek na stroške tiska %</t>
        </is>
      </c>
      <c r="C23" s="15">
        <f>'Cenik storitev'!$B$10</f>
        <v/>
      </c>
      <c r="E23" t="inlineStr">
        <is>
          <t>Potrošni + ostali neposredni</t>
        </is>
      </c>
      <c r="F23" s="18">
        <f>$C$20+$C$21</f>
        <v/>
      </c>
    </row>
    <row r="24">
      <c r="B24" t="inlineStr">
        <is>
          <t>Ročni stroški tiska € (prazno = izračun)</t>
        </is>
      </c>
      <c r="C24" s="22" t="n"/>
      <c r="E24" t="inlineStr">
        <is>
          <t>Stroški pred rezervo</t>
        </is>
      </c>
      <c r="F24" s="18">
        <f>SUM(F20:F23)</f>
        <v/>
      </c>
    </row>
    <row r="25">
      <c r="B25" s="4" t="inlineStr">
        <is>
          <t>Storitve</t>
        </is>
      </c>
      <c r="E25" t="inlineStr">
        <is>
          <t>Rezerva</t>
        </is>
      </c>
      <c r="F25" s="18">
        <f>F24*$C$22/100</f>
        <v/>
      </c>
    </row>
    <row r="26">
      <c r="B26" t="inlineStr">
        <is>
          <t>3D-skeniranje na terenu (h)</t>
        </is>
      </c>
      <c r="C26" s="15" t="n">
        <v>1</v>
      </c>
      <c r="E26" s="23" t="inlineStr">
        <is>
          <t>STROŠKI TISKANJA</t>
        </is>
      </c>
      <c r="F26" s="24">
        <f>IF(ISNUMBER($C$24),$C$24,F24+F25)</f>
        <v/>
      </c>
    </row>
    <row r="27">
      <c r="B27" t="inlineStr">
        <is>
          <t>Urejanje skena (h)</t>
        </is>
      </c>
      <c r="C27" s="15" t="n">
        <v>1</v>
      </c>
      <c r="E27" t="inlineStr">
        <is>
          <t>Pribitek % (samo Stranka)</t>
        </is>
      </c>
      <c r="F27" s="14">
        <f>IF($C$7="Stranka",$C$23,0)</f>
        <v/>
      </c>
    </row>
    <row r="28">
      <c r="B28" t="inlineStr">
        <is>
          <t>CAD-modeliranje (h)</t>
        </is>
      </c>
      <c r="C28" s="15" t="n">
        <v>0.75</v>
      </c>
      <c r="E28" t="inlineStr">
        <is>
          <t>Pribitek € (Prijatelj: ure tiska × €/h)</t>
        </is>
      </c>
      <c r="F28" s="18">
        <f>F26*F27/100+IF($C$7="Prijatelj",F12*'Cenik storitev'!$B$13,0)</f>
        <v/>
      </c>
    </row>
    <row r="29">
      <c r="B29" t="inlineStr">
        <is>
          <t>Reverse engineering (h)</t>
        </is>
      </c>
      <c r="C29" s="15" t="n">
        <v>0</v>
      </c>
      <c r="E29" t="inlineStr">
        <is>
          <t>Bruto marža tiska</t>
        </is>
      </c>
      <c r="F29" s="25">
        <f>IF(F30&gt;0,F28/F30,0)</f>
        <v/>
      </c>
    </row>
    <row r="30">
      <c r="B30" t="inlineStr">
        <is>
          <t>Priprava tiska (h)</t>
        </is>
      </c>
      <c r="C30" s="15" t="n">
        <v>0.25</v>
      </c>
      <c r="E30" t="inlineStr">
        <is>
          <t>Prodajna cena tiska</t>
        </is>
      </c>
      <c r="F30" s="18">
        <f>F26+F28</f>
        <v/>
      </c>
      <c r="J30" s="23" t="inlineStr">
        <is>
          <t>Struktura cene</t>
        </is>
      </c>
    </row>
    <row r="31">
      <c r="B31" t="inlineStr">
        <is>
          <t>Dodelava / podpore (h)</t>
        </is>
      </c>
      <c r="C31" s="15" t="n">
        <v>0.5</v>
      </c>
      <c r="E31" s="21" t="inlineStr">
        <is>
          <t>2. Prodajna vrednost dela</t>
        </is>
      </c>
      <c r="J31" t="inlineStr">
        <is>
          <t>Material</t>
        </is>
      </c>
      <c r="K31" s="26">
        <f>F20</f>
        <v/>
      </c>
    </row>
    <row r="32">
      <c r="B32" t="inlineStr">
        <is>
          <t>Dodatno delo (h)</t>
        </is>
      </c>
      <c r="C32" s="15" t="n">
        <v>0</v>
      </c>
      <c r="E32" t="inlineStr">
        <is>
          <t>Storitve po ceniku</t>
        </is>
      </c>
      <c r="F32" s="18">
        <f>($C$26*'Cenik storitev'!$B$3+$C$27*'Cenik storitev'!$B$4)*(1-Datoteke!$F$26)+($C$28*'Cenik storitev'!$B$5+$C$29*'Cenik storitev'!$B$6)*(1-Datoteke!$F$27)+$C$30*'Cenik storitev'!$B$7+$C$31*'Cenik storitev'!$B$7+$C$32*$C$33</f>
        <v/>
      </c>
      <c r="J32" t="inlineStr">
        <is>
          <t>Elektrika</t>
        </is>
      </c>
      <c r="K32" s="26">
        <f>F21</f>
        <v/>
      </c>
    </row>
    <row r="33">
      <c r="B33" t="inlineStr">
        <is>
          <t>Dodatno delo – cena €/h</t>
        </is>
      </c>
      <c r="C33" s="22">
        <f>'Cenik storitev'!$B$7</f>
        <v/>
      </c>
      <c r="E33" t="inlineStr">
        <is>
          <t>Popust prijatelj %</t>
        </is>
      </c>
      <c r="F33" s="25">
        <f>IF($C$7="Prijatelj",$C$34/100,0)</f>
        <v/>
      </c>
      <c r="J33" t="inlineStr">
        <is>
          <t>Amortizacija</t>
        </is>
      </c>
      <c r="K33" s="26">
        <f>F22</f>
        <v/>
      </c>
    </row>
    <row r="34">
      <c r="B34" t="inlineStr">
        <is>
          <t>Prijateljski popust na storitve %</t>
        </is>
      </c>
      <c r="C34" s="15">
        <f>'Cenik storitev'!$B$12</f>
        <v/>
      </c>
      <c r="E34" t="inlineStr">
        <is>
          <t>Popust / ni obračunano (Zase)</t>
        </is>
      </c>
      <c r="F34" s="18">
        <f>IF($C$7="Zase",F32,F32*F33)</f>
        <v/>
      </c>
      <c r="J34" t="inlineStr">
        <is>
          <t>Potrošni material</t>
        </is>
      </c>
      <c r="K34" s="26">
        <f>F23</f>
        <v/>
      </c>
    </row>
    <row r="35">
      <c r="B35" s="4" t="inlineStr">
        <is>
          <t>Ostalo</t>
        </is>
      </c>
      <c r="E35" t="inlineStr">
        <is>
          <t>Storitve (obračunano)</t>
        </is>
      </c>
      <c r="F35" s="18">
        <f>F32-F34</f>
        <v/>
      </c>
      <c r="J35" t="inlineStr">
        <is>
          <t>Rezerva</t>
        </is>
      </c>
      <c r="K35" s="26">
        <f>F25</f>
        <v/>
      </c>
    </row>
    <row r="36">
      <c r="B36" t="inlineStr">
        <is>
          <t>Prevoz (km)</t>
        </is>
      </c>
      <c r="C36" s="15" t="n">
        <v>0</v>
      </c>
      <c r="E36" t="inlineStr">
        <is>
          <t>Digitalne datoteke</t>
        </is>
      </c>
      <c r="F36" s="18">
        <f>IF($C$7="Zase",0,(Datoteke!$F$10+Datoteke!$F$25)*(1-F33))</f>
        <v/>
      </c>
      <c r="J36" t="inlineStr">
        <is>
          <t>Aktivno delo</t>
        </is>
      </c>
      <c r="K36" s="26">
        <f>F35+F36</f>
        <v/>
      </c>
    </row>
    <row r="37">
      <c r="B37" t="inlineStr">
        <is>
          <t>Pakiranje €</t>
        </is>
      </c>
      <c r="C37" s="22" t="n">
        <v>0</v>
      </c>
      <c r="E37" t="inlineStr">
        <is>
          <t>Prevoz</t>
        </is>
      </c>
      <c r="F37" s="18">
        <f>$C$36*'Cenik storitev'!$B$8</f>
        <v/>
      </c>
      <c r="J37" t="inlineStr">
        <is>
          <t>Pribitek</t>
        </is>
      </c>
      <c r="K37" s="26">
        <f>F28</f>
        <v/>
      </c>
    </row>
    <row r="38">
      <c r="B38" t="inlineStr">
        <is>
          <t>Dostava €</t>
        </is>
      </c>
      <c r="C38" s="22" t="n">
        <v>0</v>
      </c>
      <c r="E38" t="inlineStr">
        <is>
          <t>Pakiranje + dostava + ostalo</t>
        </is>
      </c>
      <c r="F38" s="18">
        <f>$C$37+$C$38+$C$39</f>
        <v/>
      </c>
      <c r="J38" t="inlineStr">
        <is>
          <t>Prevoz in ostalo</t>
        </is>
      </c>
      <c r="K38" s="26">
        <f>F37+F38</f>
        <v/>
      </c>
    </row>
    <row r="39">
      <c r="B39" t="inlineStr">
        <is>
          <t>Ostali stroški €</t>
        </is>
      </c>
      <c r="C39" s="22" t="n">
        <v>0</v>
      </c>
      <c r="E39" t="inlineStr">
        <is>
          <t>Popust</t>
        </is>
      </c>
      <c r="F39" s="18">
        <f>IF($C$7="Zase",0,$C$40)</f>
        <v/>
      </c>
    </row>
    <row r="40">
      <c r="B40" t="inlineStr">
        <is>
          <t>Popust €</t>
        </is>
      </c>
      <c r="C40" s="22" t="n">
        <v>0</v>
      </c>
      <c r="E40" t="inlineStr">
        <is>
          <t>Vmesna vsota</t>
        </is>
      </c>
      <c r="F40" s="18">
        <f>F30+F35+F36+F37+F38-F39</f>
        <v/>
      </c>
    </row>
    <row r="41">
      <c r="E41" t="inlineStr">
        <is>
          <t>Minimalno naročilo upoštevano</t>
        </is>
      </c>
      <c r="F41" s="17">
        <f>AND(NOT($C$7="Zase"),F40&gt;0,F40&lt;'Cenik storitev'!$B$9)</f>
        <v/>
      </c>
      <c r="J41" s="23" t="inlineStr">
        <is>
          <t>Cena in stroški</t>
        </is>
      </c>
    </row>
    <row r="42">
      <c r="E42" t="inlineStr">
        <is>
          <t>PRIHODEK brez DDV</t>
        </is>
      </c>
      <c r="F42" s="18">
        <f>MAX(0,IF(F41,'Cenik storitev'!$B$9,F40))</f>
        <v/>
      </c>
      <c r="J42" t="inlineStr">
        <is>
          <t>Dejanski stroški</t>
        </is>
      </c>
      <c r="K42" s="26">
        <f>F49</f>
        <v/>
      </c>
    </row>
    <row r="43">
      <c r="E43" s="23" t="inlineStr">
        <is>
          <t>DDV</t>
        </is>
      </c>
      <c r="F43" s="24">
        <f>IF(AND('Poslovne nastavitve'!$B$8="DA",NOT($C$7="Zase")),F42*'Poslovne nastavitve'!$B$9/100,0)</f>
        <v/>
      </c>
      <c r="J43" t="inlineStr">
        <is>
          <t>Fiksni + davek</t>
        </is>
      </c>
      <c r="K43" s="26">
        <f>F50+F51</f>
        <v/>
      </c>
    </row>
    <row r="44">
      <c r="E44" s="23" t="inlineStr">
        <is>
          <t>KONČNA CENA (z DDV, če je obračunan)</t>
        </is>
      </c>
      <c r="F44" s="24">
        <f>F42+F43</f>
        <v/>
      </c>
      <c r="J44" t="inlineStr">
        <is>
          <t>Zaslužek</t>
        </is>
      </c>
      <c r="K44" s="26">
        <f>MAX(0,F52)</f>
        <v/>
      </c>
    </row>
    <row r="45">
      <c r="E45" t="inlineStr">
        <is>
          <t>Cena na kos</t>
        </is>
      </c>
      <c r="F45" s="18">
        <f>IF($C$12&gt;0,F44/$C$12,F44)</f>
        <v/>
      </c>
      <c r="J45" t="inlineStr">
        <is>
          <t>Prihodek</t>
        </is>
      </c>
      <c r="K45" s="26">
        <f>F42</f>
        <v/>
      </c>
    </row>
    <row r="46">
      <c r="E46" s="21" t="inlineStr">
        <is>
          <t>3.–5. Od prihodka do zaslužka</t>
        </is>
      </c>
    </row>
    <row r="47">
      <c r="E47" t="inlineStr">
        <is>
          <t>Ure dela</t>
        </is>
      </c>
      <c r="F47" s="14">
        <f>SUM($C$26:$C$32)+Datoteke!$G$10-IF(Datoteke!$B$22="Ponovna",Datoteke!$F$26*($C$26+$C$27)+Datoteke!$F$27*($C$28+$C$29),0)</f>
        <v/>
      </c>
    </row>
    <row r="48">
      <c r="E48" t="inlineStr">
        <is>
          <t>Vrednost mojega časa (informativno)</t>
        </is>
      </c>
      <c r="F48" s="18">
        <f>F32+Datoteke!$F$10+Datoteke!$F$25</f>
        <v/>
      </c>
    </row>
    <row r="49">
      <c r="E49" t="inlineStr">
        <is>
          <t>Dejanski stroški</t>
        </is>
      </c>
      <c r="F49" s="18">
        <f>F26+F37+F38</f>
        <v/>
      </c>
    </row>
    <row r="50">
      <c r="E50" t="inlineStr">
        <is>
          <t>Delež fiksnih stroškov</t>
        </is>
      </c>
      <c r="F50" s="18">
        <f>IF('Poslovne nastavitve'!$B$4&gt;0,'Poslovne nastavitve'!$B$5/'Poslovne nastavitve'!$B$4*F47,0)</f>
        <v/>
      </c>
    </row>
    <row r="51">
      <c r="E51" t="inlineStr">
        <is>
          <t>Ocena davka</t>
        </is>
      </c>
      <c r="F51" s="18">
        <f>IF($C$7="Zase",0,F42*'Poslovne nastavitve'!$B$7/100)</f>
        <v/>
      </c>
    </row>
    <row r="52">
      <c r="E52" s="23" t="inlineStr">
        <is>
          <t>PREDVIDENI ZASLUŽEK</t>
        </is>
      </c>
      <c r="F52" s="24">
        <f>IF($C$7="Zase",0,F42-F49-F50-F51)</f>
        <v/>
      </c>
    </row>
    <row r="53">
      <c r="E53" t="inlineStr">
        <is>
          <t>Zaslužek na uro dela</t>
        </is>
      </c>
      <c r="F53" s="27">
        <f>IF(F47&gt;0,F52/F47,0)</f>
        <v/>
      </c>
    </row>
    <row r="54">
      <c r="E54" t="inlineStr">
        <is>
          <t>Opozorilo</t>
        </is>
      </c>
      <c r="F54" s="28">
        <f>IF(AND(NOT($C$7="Zase"),F47&gt;0,F53&lt;'Poslovne nastavitve'!$B$3),"Pod ciljno postavko!","OK")</f>
        <v/>
      </c>
    </row>
  </sheetData>
  <mergeCells count="12">
    <mergeCell ref="G4:H4"/>
    <mergeCell ref="E4:F4"/>
    <mergeCell ref="E6:F6"/>
    <mergeCell ref="G7:H7"/>
    <mergeCell ref="E7:F7"/>
    <mergeCell ref="E10:F10"/>
    <mergeCell ref="G10:H10"/>
    <mergeCell ref="G6:H6"/>
    <mergeCell ref="G9:H9"/>
    <mergeCell ref="E9:F9"/>
    <mergeCell ref="G3:H3"/>
    <mergeCell ref="E3:F3"/>
  </mergeCells>
  <dataValidations count="7">
    <dataValidation sqref="C7" showDropDown="0" showInputMessage="0" showErrorMessage="0" allowBlank="0" type="list">
      <formula1>"Stranka,Prijatelj,Zase"</formula1>
    </dataValidation>
    <dataValidation sqref="C8" showDropDown="0" showInputMessage="0" showErrorMessage="0" allowBlank="0" type="list">
      <formula1>"Samo tisk,Skeniranje,CAD,Kombinirano,Digitalna datoteka"</formula1>
    </dataValidation>
    <dataValidation sqref="C10" showDropDown="0" showInputMessage="0" showErrorMessage="0" allowBlank="0" type="list">
      <formula1>=Tiskalniki!$A$4:$A$15</formula1>
    </dataValidation>
    <dataValidation sqref="C11" showDropDown="0" showInputMessage="0" showErrorMessage="0" allowBlank="0" type="list">
      <formula1>=Materiali!$A$4:$A$45</formula1>
    </dataValidation>
    <dataValidation sqref="C16" showDropDown="0" showInputMessage="0" showErrorMessage="0" allowBlank="0" type="list">
      <formula1>"DA,NE"</formula1>
    </dataValidation>
    <dataValidation sqref="C13 C14 C15 C17 C18 C19 C20 C21 C22 C23 C24 C26 C27 C28 C29 C30 C31 C32 C33 C34 C36 C37 C38 C39 C40" showDropDown="0" showInputMessage="0" showErrorMessage="1" allowBlank="0" error="Vnesi število 0 ali več." type="decimal" operator="greaterThanOrEqual">
      <formula1>0</formula1>
    </dataValidation>
    <dataValidation sqref="C12" showDropDown="0" showInputMessage="0" showErrorMessage="1" allowBlank="0" error="Vsaj 1 kos." type="whole" operator="greaterThanOrEqual">
      <formula1>1</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F172A"/>
    <outlinePr summaryBelow="1" summaryRight="1"/>
    <pageSetUpPr/>
  </sheetPr>
  <dimension ref="A1:L17"/>
  <sheetViews>
    <sheetView showGridLines="0" workbookViewId="0">
      <selection activeCell="A1" sqref="A1"/>
    </sheetView>
  </sheetViews>
  <sheetFormatPr baseColWidth="8" defaultRowHeight="15"/>
  <cols>
    <col width="28" customWidth="1" min="1" max="1"/>
    <col width="12" customWidth="1" min="2" max="2"/>
    <col width="12" customWidth="1" min="3" max="3"/>
    <col width="14" customWidth="1" min="4" max="4"/>
    <col width="12" customWidth="1" min="5" max="5"/>
    <col width="9" customWidth="1" min="6" max="6"/>
    <col width="9" customWidth="1" min="7" max="7"/>
    <col width="9" customWidth="1" min="8" max="8"/>
    <col width="9" customWidth="1" min="9" max="9"/>
    <col width="9" customWidth="1" min="10" max="10"/>
    <col width="10" customWidth="1" min="11" max="11"/>
    <col width="14" customWidth="1" min="12" max="12"/>
  </cols>
  <sheetData>
    <row r="1">
      <c r="A1" s="1" t="inlineStr">
        <is>
          <t>Tiskalniki</t>
        </is>
      </c>
    </row>
    <row r="2">
      <c r="F2" s="3" t="inlineStr">
        <is>
          <t>Moč po materialu (W) – prazno = privzeto</t>
        </is>
      </c>
    </row>
    <row r="3">
      <c r="A3" s="29" t="inlineStr">
        <is>
          <t>Naziv</t>
        </is>
      </c>
      <c r="B3" s="29" t="inlineStr">
        <is>
          <t>Nabavna cena</t>
        </is>
      </c>
      <c r="C3" s="29" t="inlineStr">
        <is>
          <t>Življ. doba (h)</t>
        </is>
      </c>
      <c r="D3" s="29" t="inlineStr">
        <is>
          <t>Servis v dobi</t>
        </is>
      </c>
      <c r="E3" s="29" t="inlineStr">
        <is>
          <t>Moč privzeto (W)</t>
        </is>
      </c>
      <c r="F3" s="29" t="inlineStr">
        <is>
          <t>PLA</t>
        </is>
      </c>
      <c r="G3" s="29" t="inlineStr">
        <is>
          <t>PETG</t>
        </is>
      </c>
      <c r="H3" s="29" t="inlineStr">
        <is>
          <t>ASA</t>
        </is>
      </c>
      <c r="I3" s="29" t="inlineStr">
        <is>
          <t>PC</t>
        </is>
      </c>
      <c r="J3" s="29" t="inlineStr">
        <is>
          <t>TPU</t>
        </is>
      </c>
      <c r="K3" s="29" t="inlineStr">
        <is>
          <t>PETG-CF</t>
        </is>
      </c>
      <c r="L3" s="29" t="inlineStr">
        <is>
          <t>Amortizacija €/h</t>
        </is>
      </c>
    </row>
    <row r="4">
      <c r="A4" t="inlineStr">
        <is>
          <t>Bambu Lab X2D Combo</t>
        </is>
      </c>
      <c r="B4" s="22" t="n">
        <v>870.4</v>
      </c>
      <c r="C4" s="30" t="n">
        <v>3000</v>
      </c>
      <c r="D4" s="22" t="n">
        <v>200</v>
      </c>
      <c r="E4" s="13" t="n">
        <v>450</v>
      </c>
      <c r="F4" s="13" t="n"/>
      <c r="G4" s="13" t="n"/>
      <c r="H4" s="13" t="n">
        <v>450</v>
      </c>
      <c r="I4" s="13" t="n"/>
      <c r="J4" s="13" t="n"/>
      <c r="K4" s="13" t="n"/>
      <c r="L4" s="31">
        <f>IF(C4&gt;0,(B4+D4)/C4,0)</f>
        <v/>
      </c>
    </row>
    <row r="5">
      <c r="A5" t="inlineStr">
        <is>
          <t>Prusa CORE One INDX</t>
        </is>
      </c>
      <c r="B5" s="22" t="n">
        <v>2249</v>
      </c>
      <c r="C5" s="30" t="n">
        <v>3000</v>
      </c>
      <c r="D5" s="22" t="n">
        <v>100</v>
      </c>
      <c r="E5" s="13" t="n"/>
      <c r="F5" s="13" t="n"/>
      <c r="G5" s="13" t="n"/>
      <c r="H5" s="13" t="n"/>
      <c r="I5" s="13" t="n"/>
      <c r="J5" s="13" t="n"/>
      <c r="K5" s="13" t="n"/>
      <c r="L5" s="31">
        <f>IF(C5&gt;0,(B5+D5)/C5,0)</f>
        <v/>
      </c>
    </row>
    <row r="6">
      <c r="A6" t="inlineStr">
        <is>
          <t>Elegoo Mars 2 Pro</t>
        </is>
      </c>
      <c r="B6" s="22" t="n">
        <v>450</v>
      </c>
      <c r="C6" s="30" t="n">
        <v>3000</v>
      </c>
      <c r="D6" s="22" t="n">
        <v>200</v>
      </c>
      <c r="E6" s="13" t="n"/>
      <c r="F6" s="13" t="n"/>
      <c r="G6" s="13" t="n"/>
      <c r="H6" s="13" t="n"/>
      <c r="I6" s="13" t="n"/>
      <c r="J6" s="13" t="n"/>
      <c r="K6" s="13" t="n"/>
      <c r="L6" s="31">
        <f>IF(C6&gt;0,(B6+D6)/C6,0)</f>
        <v/>
      </c>
    </row>
    <row r="7">
      <c r="A7" t="inlineStr">
        <is>
          <t>Formlabs Form Studio 1</t>
        </is>
      </c>
      <c r="B7" s="22" t="n">
        <v>1650</v>
      </c>
      <c r="C7" s="30" t="n">
        <v>3000</v>
      </c>
      <c r="D7" s="22" t="n">
        <v>200</v>
      </c>
      <c r="E7" s="13" t="n"/>
      <c r="F7" s="13" t="n"/>
      <c r="G7" s="13" t="n"/>
      <c r="H7" s="13" t="n"/>
      <c r="I7" s="13" t="n"/>
      <c r="J7" s="13" t="n"/>
      <c r="K7" s="13" t="n"/>
      <c r="L7" s="31">
        <f>IF(C7&gt;0,(B7+D7)/C7,0)</f>
        <v/>
      </c>
    </row>
    <row r="8">
      <c r="A8" s="6" t="n"/>
      <c r="B8" s="6" t="n"/>
      <c r="C8" s="6" t="n"/>
      <c r="D8" s="6" t="n"/>
      <c r="E8" s="6" t="n"/>
      <c r="F8" s="6" t="n"/>
      <c r="G8" s="6" t="n"/>
      <c r="H8" s="6" t="n"/>
      <c r="I8" s="6" t="n"/>
      <c r="J8" s="6" t="n"/>
      <c r="K8" s="6" t="n"/>
      <c r="L8" s="31">
        <f>IF(A8="","",IF(C8&gt;0,(B8+D8)/C8,0))</f>
        <v/>
      </c>
    </row>
    <row r="9">
      <c r="A9" s="6" t="n"/>
      <c r="B9" s="6" t="n"/>
      <c r="C9" s="6" t="n"/>
      <c r="D9" s="6" t="n"/>
      <c r="E9" s="6" t="n"/>
      <c r="F9" s="6" t="n"/>
      <c r="G9" s="6" t="n"/>
      <c r="H9" s="6" t="n"/>
      <c r="I9" s="6" t="n"/>
      <c r="J9" s="6" t="n"/>
      <c r="K9" s="6" t="n"/>
      <c r="L9" s="31">
        <f>IF(A9="","",IF(C9&gt;0,(B9+D9)/C9,0))</f>
        <v/>
      </c>
    </row>
    <row r="10">
      <c r="A10" s="6" t="n"/>
      <c r="B10" s="6" t="n"/>
      <c r="C10" s="6" t="n"/>
      <c r="D10" s="6" t="n"/>
      <c r="E10" s="6" t="n"/>
      <c r="F10" s="6" t="n"/>
      <c r="G10" s="6" t="n"/>
      <c r="H10" s="6" t="n"/>
      <c r="I10" s="6" t="n"/>
      <c r="J10" s="6" t="n"/>
      <c r="K10" s="6" t="n"/>
      <c r="L10" s="31">
        <f>IF(A10="","",IF(C10&gt;0,(B10+D10)/C10,0))</f>
        <v/>
      </c>
    </row>
    <row r="11">
      <c r="A11" s="6" t="n"/>
      <c r="B11" s="6" t="n"/>
      <c r="C11" s="6" t="n"/>
      <c r="D11" s="6" t="n"/>
      <c r="E11" s="6" t="n"/>
      <c r="F11" s="6" t="n"/>
      <c r="G11" s="6" t="n"/>
      <c r="H11" s="6" t="n"/>
      <c r="I11" s="6" t="n"/>
      <c r="J11" s="6" t="n"/>
      <c r="K11" s="6" t="n"/>
      <c r="L11" s="31">
        <f>IF(A11="","",IF(C11&gt;0,(B11+D11)/C11,0))</f>
        <v/>
      </c>
    </row>
    <row r="12">
      <c r="A12" s="6" t="n"/>
      <c r="B12" s="6" t="n"/>
      <c r="C12" s="6" t="n"/>
      <c r="D12" s="6" t="n"/>
      <c r="E12" s="6" t="n"/>
      <c r="F12" s="6" t="n"/>
      <c r="G12" s="6" t="n"/>
      <c r="H12" s="6" t="n"/>
      <c r="I12" s="6" t="n"/>
      <c r="J12" s="6" t="n"/>
      <c r="K12" s="6" t="n"/>
      <c r="L12" s="31">
        <f>IF(A12="","",IF(C12&gt;0,(B12+D12)/C12,0))</f>
        <v/>
      </c>
    </row>
    <row r="13">
      <c r="A13" s="6" t="n"/>
      <c r="B13" s="6" t="n"/>
      <c r="C13" s="6" t="n"/>
      <c r="D13" s="6" t="n"/>
      <c r="E13" s="6" t="n"/>
      <c r="F13" s="6" t="n"/>
      <c r="G13" s="6" t="n"/>
      <c r="H13" s="6" t="n"/>
      <c r="I13" s="6" t="n"/>
      <c r="J13" s="6" t="n"/>
      <c r="K13" s="6" t="n"/>
      <c r="L13" s="31">
        <f>IF(A13="","",IF(C13&gt;0,(B13+D13)/C13,0))</f>
        <v/>
      </c>
    </row>
    <row r="14">
      <c r="A14" s="6" t="n"/>
      <c r="B14" s="6" t="n"/>
      <c r="C14" s="6" t="n"/>
      <c r="D14" s="6" t="n"/>
      <c r="E14" s="6" t="n"/>
      <c r="F14" s="6" t="n"/>
      <c r="G14" s="6" t="n"/>
      <c r="H14" s="6" t="n"/>
      <c r="I14" s="6" t="n"/>
      <c r="J14" s="6" t="n"/>
      <c r="K14" s="6" t="n"/>
      <c r="L14" s="31">
        <f>IF(A14="","",IF(C14&gt;0,(B14+D14)/C14,0))</f>
        <v/>
      </c>
    </row>
    <row r="15">
      <c r="A15" s="6" t="n"/>
      <c r="B15" s="6" t="n"/>
      <c r="C15" s="6" t="n"/>
      <c r="D15" s="6" t="n"/>
      <c r="E15" s="6" t="n"/>
      <c r="F15" s="6" t="n"/>
      <c r="G15" s="6" t="n"/>
      <c r="H15" s="6" t="n"/>
      <c r="I15" s="6" t="n"/>
      <c r="J15" s="6" t="n"/>
      <c r="K15" s="6" t="n"/>
      <c r="L15" s="31">
        <f>IF(A15="","",IF(C15&gt;0,(B15+D15)/C15,0))</f>
        <v/>
      </c>
    </row>
    <row r="17">
      <c r="A17" s="3" t="inlineStr">
        <is>
          <t>Moči so ocene, dokler jih ne izmeriš. Prazne vrstice 8–15 so za nove tiskalnike.</t>
        </is>
      </c>
    </row>
  </sheetData>
  <pageMargins left="0.75" right="0.75" top="1" bottom="1" header="0.5" footer="0.5"/>
</worksheet>
</file>

<file path=xl/worksheets/sheet3.xml><?xml version="1.0" encoding="utf-8"?>
<worksheet xmlns="http://schemas.openxmlformats.org/spreadsheetml/2006/main">
  <sheetPr>
    <tabColor rgb="000F172A"/>
    <outlinePr summaryBelow="1" summaryRight="1"/>
    <pageSetUpPr/>
  </sheetPr>
  <dimension ref="A1:K45"/>
  <sheetViews>
    <sheetView showGridLines="0" workbookViewId="0">
      <selection activeCell="A1" sqref="A1"/>
    </sheetView>
  </sheetViews>
  <sheetFormatPr baseColWidth="8" defaultRowHeight="15"/>
  <cols>
    <col width="24" customWidth="1" min="1" max="1"/>
    <col width="16" customWidth="1" min="2" max="2"/>
    <col width="10" customWidth="1" min="3" max="3"/>
    <col width="12" customWidth="1" min="4" max="4"/>
    <col width="13" customWidth="1" min="5" max="5"/>
    <col width="13" customWidth="1" min="6" max="6"/>
    <col width="12" customWidth="1" min="7" max="7"/>
    <col width="12" customWidth="1" min="8" max="8"/>
    <col width="14" customWidth="1" min="9" max="9"/>
    <col width="14" customWidth="1" min="10" max="10"/>
    <col width="48" customWidth="1" min="11" max="11"/>
  </cols>
  <sheetData>
    <row r="1">
      <c r="A1" s="1" t="inlineStr">
        <is>
          <t>Materiali</t>
        </is>
      </c>
    </row>
    <row r="3">
      <c r="A3" s="29" t="inlineStr">
        <is>
          <t>Naziv</t>
        </is>
      </c>
      <c r="B3" s="29" t="inlineStr">
        <is>
          <t>Proizvajalec</t>
        </is>
      </c>
      <c r="C3" s="29" t="inlineStr">
        <is>
          <t>Vrsta</t>
        </is>
      </c>
      <c r="D3" s="29" t="inlineStr">
        <is>
          <t>Neto masa (g)</t>
        </is>
      </c>
      <c r="E3" s="29" t="inlineStr">
        <is>
          <t>Redna cena koluta</t>
        </is>
      </c>
      <c r="F3" s="29" t="inlineStr">
        <is>
          <t>Akcijska / bulk cena</t>
        </is>
      </c>
      <c r="G3" s="29" t="inlineStr">
        <is>
          <t>Uporabi</t>
        </is>
      </c>
      <c r="H3" s="29" t="inlineStr">
        <is>
          <t>€/kg</t>
        </is>
      </c>
      <c r="I3" s="29" t="inlineStr">
        <is>
          <t>Temp. sušenja</t>
        </is>
      </c>
      <c r="J3" s="29" t="inlineStr">
        <is>
          <t>Akcija / bulk</t>
        </is>
      </c>
      <c r="K3" s="29" t="inlineStr">
        <is>
          <t>Vir cene</t>
        </is>
      </c>
    </row>
    <row r="4">
      <c r="A4" s="6" t="inlineStr">
        <is>
          <t>Bambu PLA Basic</t>
        </is>
      </c>
      <c r="B4" s="6" t="inlineStr">
        <is>
          <t>Bambu Lab</t>
        </is>
      </c>
      <c r="C4" s="6" t="inlineStr">
        <is>
          <t>PLA</t>
        </is>
      </c>
      <c r="D4" s="30" t="n">
        <v>1000</v>
      </c>
      <c r="E4" s="22" t="n">
        <v>13</v>
      </c>
      <c r="F4" s="22" t="n"/>
      <c r="G4" s="6" t="inlineStr">
        <is>
          <t>Redna</t>
        </is>
      </c>
      <c r="H4" s="26">
        <f>IF(OR(A4="",D4&lt;=0),"",IF(AND(G4="Akcijska",ISNUMBER(F4)),F4,E4)/(D4/1000))</f>
        <v/>
      </c>
      <c r="I4" s="6" t="n"/>
      <c r="J4" s="6" t="n"/>
      <c r="K4" s="6" t="n"/>
    </row>
    <row r="5">
      <c r="A5" s="6" t="inlineStr">
        <is>
          <t>Bambu PETG HF</t>
        </is>
      </c>
      <c r="B5" s="6" t="inlineStr">
        <is>
          <t>Bambu Lab</t>
        </is>
      </c>
      <c r="C5" s="6" t="inlineStr">
        <is>
          <t>PETG</t>
        </is>
      </c>
      <c r="D5" s="30" t="n">
        <v>1000</v>
      </c>
      <c r="E5" s="22" t="n">
        <v>13</v>
      </c>
      <c r="F5" s="22" t="n"/>
      <c r="G5" s="6" t="inlineStr">
        <is>
          <t>Redna</t>
        </is>
      </c>
      <c r="H5" s="26">
        <f>IF(OR(A5="",D5&lt;=0),"",IF(AND(G5="Akcijska",ISNUMBER(F5)),F5,E5)/(D5/1000))</f>
        <v/>
      </c>
      <c r="I5" s="6" t="n"/>
      <c r="J5" s="6" t="n"/>
      <c r="K5" s="6" t="n"/>
    </row>
    <row r="6">
      <c r="A6" s="6" t="inlineStr">
        <is>
          <t>Bambu ASA</t>
        </is>
      </c>
      <c r="B6" s="6" t="inlineStr">
        <is>
          <t>Bambu Lab</t>
        </is>
      </c>
      <c r="C6" s="6" t="inlineStr">
        <is>
          <t>ASA</t>
        </is>
      </c>
      <c r="D6" s="30" t="n">
        <v>1000</v>
      </c>
      <c r="E6" s="22" t="n">
        <v>26.64</v>
      </c>
      <c r="F6" s="22" t="n"/>
      <c r="G6" s="6" t="inlineStr">
        <is>
          <t>Redna</t>
        </is>
      </c>
      <c r="H6" s="26">
        <f>IF(OR(A6="",D6&lt;=0),"",IF(AND(G6="Akcijska",ISNUMBER(F6)),F6,E6)/(D6/1000))</f>
        <v/>
      </c>
      <c r="I6" s="6" t="n"/>
      <c r="J6" s="6" t="n"/>
      <c r="K6" s="6" t="n"/>
    </row>
    <row r="7">
      <c r="A7" s="6" t="inlineStr">
        <is>
          <t>Prusament PLA</t>
        </is>
      </c>
      <c r="B7" s="6" t="inlineStr">
        <is>
          <t>Prusa</t>
        </is>
      </c>
      <c r="C7" s="6" t="inlineStr">
        <is>
          <t>PLA</t>
        </is>
      </c>
      <c r="D7" s="30" t="n">
        <v>1000</v>
      </c>
      <c r="E7" s="22" t="n">
        <v>32</v>
      </c>
      <c r="F7" s="22" t="n"/>
      <c r="G7" s="6" t="inlineStr">
        <is>
          <t>Redna</t>
        </is>
      </c>
      <c r="H7" s="26">
        <f>IF(OR(A7="",D7&lt;=0),"",IF(AND(G7="Akcijska",ISNUMBER(F7)),F7,E7)/(D7/1000))</f>
        <v/>
      </c>
      <c r="I7" s="6" t="n"/>
      <c r="J7" s="6" t="n"/>
      <c r="K7" s="6" t="n"/>
    </row>
    <row r="8">
      <c r="A8" s="6" t="inlineStr">
        <is>
          <t>Prusament PETG</t>
        </is>
      </c>
      <c r="B8" s="6" t="inlineStr">
        <is>
          <t>Prusa</t>
        </is>
      </c>
      <c r="C8" s="6" t="inlineStr">
        <is>
          <t>PETG</t>
        </is>
      </c>
      <c r="D8" s="30" t="n">
        <v>1000</v>
      </c>
      <c r="E8" s="22" t="n">
        <v>32</v>
      </c>
      <c r="F8" s="22" t="n"/>
      <c r="G8" s="6" t="inlineStr">
        <is>
          <t>Redna</t>
        </is>
      </c>
      <c r="H8" s="26">
        <f>IF(OR(A8="",D8&lt;=0),"",IF(AND(G8="Akcijska",ISNUMBER(F8)),F8,E8)/(D8/1000))</f>
        <v/>
      </c>
      <c r="I8" s="6" t="n"/>
      <c r="J8" s="6" t="n"/>
      <c r="K8" s="6" t="n"/>
    </row>
    <row r="9">
      <c r="A9" s="6" t="inlineStr">
        <is>
          <t>Prusament ASA</t>
        </is>
      </c>
      <c r="B9" s="6" t="inlineStr">
        <is>
          <t>Prusa</t>
        </is>
      </c>
      <c r="C9" s="6" t="inlineStr">
        <is>
          <t>ASA</t>
        </is>
      </c>
      <c r="D9" s="30" t="n">
        <v>1000</v>
      </c>
      <c r="E9" s="22" t="n">
        <v>32</v>
      </c>
      <c r="F9" s="22" t="n"/>
      <c r="G9" s="6" t="inlineStr">
        <is>
          <t>Redna</t>
        </is>
      </c>
      <c r="H9" s="26">
        <f>IF(OR(A9="",D9&lt;=0),"",IF(AND(G9="Akcijska",ISNUMBER(F9)),F9,E9)/(D9/1000))</f>
        <v/>
      </c>
      <c r="I9" s="6" t="n"/>
      <c r="J9" s="6" t="n"/>
      <c r="K9" s="6" t="n"/>
    </row>
    <row r="10">
      <c r="A10" s="6" t="inlineStr">
        <is>
          <t>Plastika Trček PLA</t>
        </is>
      </c>
      <c r="B10" s="6" t="inlineStr">
        <is>
          <t>Plastika Trček</t>
        </is>
      </c>
      <c r="C10" s="6" t="inlineStr">
        <is>
          <t>PLA</t>
        </is>
      </c>
      <c r="D10" s="30" t="n">
        <v>1000</v>
      </c>
      <c r="E10" s="22" t="n">
        <v>21</v>
      </c>
      <c r="F10" s="22" t="n"/>
      <c r="G10" s="6" t="inlineStr">
        <is>
          <t>Redna</t>
        </is>
      </c>
      <c r="H10" s="26">
        <f>IF(OR(A10="",D10&lt;=0),"",IF(AND(G10="Akcijska",ISNUMBER(F10)),F10,E10)/(D10/1000))</f>
        <v/>
      </c>
      <c r="I10" s="6" t="n"/>
      <c r="J10" s="6" t="n"/>
      <c r="K10" s="6" t="n"/>
    </row>
    <row r="11">
      <c r="A11" s="6" t="inlineStr">
        <is>
          <t>Plastika Trček PETG</t>
        </is>
      </c>
      <c r="B11" s="6" t="inlineStr">
        <is>
          <t>Plastika Trček</t>
        </is>
      </c>
      <c r="C11" s="6" t="inlineStr">
        <is>
          <t>PETG</t>
        </is>
      </c>
      <c r="D11" s="30" t="n">
        <v>1000</v>
      </c>
      <c r="E11" s="22" t="n">
        <v>22</v>
      </c>
      <c r="F11" s="22" t="n"/>
      <c r="G11" s="6" t="inlineStr">
        <is>
          <t>Redna</t>
        </is>
      </c>
      <c r="H11" s="26">
        <f>IF(OR(A11="",D11&lt;=0),"",IF(AND(G11="Akcijska",ISNUMBER(F11)),F11,E11)/(D11/1000))</f>
        <v/>
      </c>
      <c r="I11" s="6" t="n"/>
      <c r="J11" s="6" t="n"/>
      <c r="K11" s="6" t="n"/>
    </row>
    <row r="12">
      <c r="A12" s="6" t="inlineStr">
        <is>
          <t>Prusament PC Blend</t>
        </is>
      </c>
      <c r="B12" s="6" t="inlineStr">
        <is>
          <t>Prusa</t>
        </is>
      </c>
      <c r="C12" s="6" t="inlineStr">
        <is>
          <t>PC</t>
        </is>
      </c>
      <c r="D12" s="30" t="n">
        <v>1000</v>
      </c>
      <c r="E12" s="22" t="n">
        <v>46.39</v>
      </c>
      <c r="F12" s="22" t="n"/>
      <c r="G12" s="6" t="inlineStr">
        <is>
          <t>Redna</t>
        </is>
      </c>
      <c r="H12" s="26">
        <f>IF(OR(A12="",D12&lt;=0),"",IF(AND(G12="Akcijska",ISNUMBER(F12)),F12,E12)/(D12/1000))</f>
        <v/>
      </c>
      <c r="I12" s="6" t="n"/>
      <c r="J12" s="6" t="n"/>
      <c r="K12" s="6" t="n"/>
    </row>
    <row r="13">
      <c r="A13" s="6" t="inlineStr">
        <is>
          <t>Plastika Trček TPU</t>
        </is>
      </c>
      <c r="B13" s="6" t="inlineStr">
        <is>
          <t>Plastika Trček</t>
        </is>
      </c>
      <c r="C13" s="6" t="inlineStr">
        <is>
          <t>TPU</t>
        </is>
      </c>
      <c r="D13" s="30" t="n">
        <v>1000</v>
      </c>
      <c r="E13" s="22" t="n">
        <v>38.57</v>
      </c>
      <c r="F13" s="22" t="n"/>
      <c r="G13" s="6" t="inlineStr">
        <is>
          <t>Redna</t>
        </is>
      </c>
      <c r="H13" s="26">
        <f>IF(OR(A13="",D13&lt;=0),"",IF(AND(G13="Akcijska",ISNUMBER(F13)),F13,E13)/(D13/1000))</f>
        <v/>
      </c>
      <c r="I13" s="6" t="n"/>
      <c r="J13" s="6" t="n"/>
      <c r="K13" s="6" t="n"/>
    </row>
    <row r="14">
      <c r="A14" s="6" t="inlineStr">
        <is>
          <t>Prusament PETG-CF</t>
        </is>
      </c>
      <c r="B14" s="6" t="inlineStr">
        <is>
          <t>Prusa</t>
        </is>
      </c>
      <c r="C14" s="6" t="inlineStr">
        <is>
          <t>PETG-CF</t>
        </is>
      </c>
      <c r="D14" s="30" t="n">
        <v>1000</v>
      </c>
      <c r="E14" s="22" t="n">
        <v>60</v>
      </c>
      <c r="F14" s="22" t="n"/>
      <c r="G14" s="6" t="inlineStr">
        <is>
          <t>Redna</t>
        </is>
      </c>
      <c r="H14" s="26">
        <f>IF(OR(A14="",D14&lt;=0),"",IF(AND(G14="Akcijska",ISNUMBER(F14)),F14,E14)/(D14/1000))</f>
        <v/>
      </c>
      <c r="I14" s="6" t="n"/>
      <c r="J14" s="6" t="n"/>
      <c r="K14" s="6" t="n"/>
    </row>
    <row r="15">
      <c r="A15" s="6" t="inlineStr">
        <is>
          <t>Bambu PLA Basic (1 kg)</t>
        </is>
      </c>
      <c r="B15" s="6" t="inlineStr">
        <is>
          <t>Bambu Lab</t>
        </is>
      </c>
      <c r="C15" s="6" t="inlineStr">
        <is>
          <t>PLA</t>
        </is>
      </c>
      <c r="D15" s="30" t="n">
        <v>1000</v>
      </c>
      <c r="E15" s="22" t="n">
        <v>16.99</v>
      </c>
      <c r="F15" s="22" t="n">
        <v>11.04</v>
      </c>
      <c r="G15" s="6" t="inlineStr">
        <is>
          <t>Redna</t>
        </is>
      </c>
      <c r="H15" s="26">
        <f>IF(OR(A15="",D15&lt;=0),"",IF(AND(G15="Akcijska",ISNUMBER(F15)),F15,E15)/(D15/1000))</f>
        <v/>
      </c>
      <c r="I15" s="6" t="n"/>
      <c r="J15" s="6" t="inlineStr">
        <is>
          <t>Bulk 10+</t>
        </is>
      </c>
      <c r="K15" s="6" t="inlineStr">
        <is>
          <t>https://eu.store.bambulab.com/products/pla-basic-filament</t>
        </is>
      </c>
    </row>
    <row r="16">
      <c r="A16" s="6" t="inlineStr">
        <is>
          <t>Bambu PETG HF (1 kg)</t>
        </is>
      </c>
      <c r="B16" s="6" t="inlineStr">
        <is>
          <t>Bambu Lab</t>
        </is>
      </c>
      <c r="C16" s="6" t="inlineStr">
        <is>
          <t>PETG</t>
        </is>
      </c>
      <c r="D16" s="30" t="n">
        <v>1000</v>
      </c>
      <c r="E16" s="22" t="n">
        <v>19.99</v>
      </c>
      <c r="F16" s="22" t="n">
        <v>12.99</v>
      </c>
      <c r="G16" s="6" t="inlineStr">
        <is>
          <t>Redna</t>
        </is>
      </c>
      <c r="H16" s="26">
        <f>IF(OR(A16="",D16&lt;=0),"",IF(AND(G16="Akcijska",ISNUMBER(F16)),F16,E16)/(D16/1000))</f>
        <v/>
      </c>
      <c r="I16" s="6" t="n"/>
      <c r="J16" s="6" t="inlineStr">
        <is>
          <t>Bulk 10+</t>
        </is>
      </c>
      <c r="K16" s="6" t="inlineStr">
        <is>
          <t>https://eu.store.bambulab.com/products/petg-hf</t>
        </is>
      </c>
    </row>
    <row r="17">
      <c r="A17" s="6" t="inlineStr">
        <is>
          <t>Bambu PETG Basic (1 kg)</t>
        </is>
      </c>
      <c r="B17" s="6" t="inlineStr">
        <is>
          <t>Bambu Lab</t>
        </is>
      </c>
      <c r="C17" s="6" t="inlineStr">
        <is>
          <t>PETG</t>
        </is>
      </c>
      <c r="D17" s="30" t="n">
        <v>1000</v>
      </c>
      <c r="E17" s="22" t="n">
        <v>15.99</v>
      </c>
      <c r="F17" s="22" t="n">
        <v>10.39</v>
      </c>
      <c r="G17" s="6" t="inlineStr">
        <is>
          <t>Redna</t>
        </is>
      </c>
      <c r="H17" s="26">
        <f>IF(OR(A17="",D17&lt;=0),"",IF(AND(G17="Akcijska",ISNUMBER(F17)),F17,E17)/(D17/1000))</f>
        <v/>
      </c>
      <c r="I17" s="6" t="n"/>
      <c r="J17" s="6" t="inlineStr">
        <is>
          <t>Bulk 10+</t>
        </is>
      </c>
      <c r="K17" s="6" t="inlineStr">
        <is>
          <t>https://eu.store.bambulab.com/products/petg-basic</t>
        </is>
      </c>
    </row>
    <row r="18">
      <c r="A18" s="6" t="inlineStr">
        <is>
          <t>Bambu ASA (1 kg)</t>
        </is>
      </c>
      <c r="B18" s="6" t="inlineStr">
        <is>
          <t>Bambu Lab</t>
        </is>
      </c>
      <c r="C18" s="6" t="inlineStr">
        <is>
          <t>ASA</t>
        </is>
      </c>
      <c r="D18" s="30" t="n">
        <v>1000</v>
      </c>
      <c r="E18" s="22" t="n">
        <v>24.99</v>
      </c>
      <c r="F18" s="22" t="n"/>
      <c r="G18" s="6" t="inlineStr">
        <is>
          <t>Redna</t>
        </is>
      </c>
      <c r="H18" s="26">
        <f>IF(OR(A18="",D18&lt;=0),"",IF(AND(G18="Akcijska",ISNUMBER(F18)),F18,E18)/(D18/1000))</f>
        <v/>
      </c>
      <c r="I18" s="6" t="n"/>
      <c r="J18" s="6" t="n"/>
      <c r="K18" s="6" t="inlineStr">
        <is>
          <t>https://eu.store.bambulab.com/products/asa-filament</t>
        </is>
      </c>
    </row>
    <row r="19">
      <c r="A19" s="6" t="inlineStr">
        <is>
          <t>Bambu ABS (1 kg)</t>
        </is>
      </c>
      <c r="B19" s="6" t="inlineStr">
        <is>
          <t>Bambu Lab</t>
        </is>
      </c>
      <c r="C19" s="6" t="inlineStr">
        <is>
          <t>ABS</t>
        </is>
      </c>
      <c r="D19" s="30" t="n">
        <v>1000</v>
      </c>
      <c r="E19" s="22" t="n">
        <v>16.99</v>
      </c>
      <c r="F19" s="22" t="n">
        <v>11.04</v>
      </c>
      <c r="G19" s="6" t="inlineStr">
        <is>
          <t>Redna</t>
        </is>
      </c>
      <c r="H19" s="26">
        <f>IF(OR(A19="",D19&lt;=0),"",IF(AND(G19="Akcijska",ISNUMBER(F19)),F19,E19)/(D19/1000))</f>
        <v/>
      </c>
      <c r="I19" s="6" t="n"/>
      <c r="J19" s="6" t="inlineStr">
        <is>
          <t>Bulk 10+</t>
        </is>
      </c>
      <c r="K19" s="6" t="inlineStr">
        <is>
          <t>https://eu.store.bambulab.com/products/abs-filament</t>
        </is>
      </c>
    </row>
    <row r="20">
      <c r="A20" s="6" t="inlineStr">
        <is>
          <t>Bambu PC (1 kg)</t>
        </is>
      </c>
      <c r="B20" s="6" t="inlineStr">
        <is>
          <t>Bambu Lab</t>
        </is>
      </c>
      <c r="C20" s="6" t="inlineStr">
        <is>
          <t>PC</t>
        </is>
      </c>
      <c r="D20" s="30" t="n">
        <v>1000</v>
      </c>
      <c r="E20" s="22" t="n">
        <v>42.99</v>
      </c>
      <c r="F20" s="22" t="n"/>
      <c r="G20" s="6" t="inlineStr">
        <is>
          <t>Redna</t>
        </is>
      </c>
      <c r="H20" s="26">
        <f>IF(OR(A20="",D20&lt;=0),"",IF(AND(G20="Akcijska",ISNUMBER(F20)),F20,E20)/(D20/1000))</f>
        <v/>
      </c>
      <c r="I20" s="6" t="n"/>
      <c r="J20" s="6" t="n"/>
      <c r="K20" s="6" t="inlineStr">
        <is>
          <t>https://eu.store.bambulab.com/products/pc-filament</t>
        </is>
      </c>
    </row>
    <row r="21">
      <c r="A21" s="6" t="inlineStr">
        <is>
          <t>Bambu PA6-CF najlon (1 kg)</t>
        </is>
      </c>
      <c r="B21" s="6" t="inlineStr">
        <is>
          <t>Bambu Lab</t>
        </is>
      </c>
      <c r="C21" s="6" t="inlineStr">
        <is>
          <t>PA</t>
        </is>
      </c>
      <c r="D21" s="30" t="n">
        <v>1000</v>
      </c>
      <c r="E21" s="22" t="n">
        <v>44.99</v>
      </c>
      <c r="F21" s="22" t="n"/>
      <c r="G21" s="6" t="inlineStr">
        <is>
          <t>Redna</t>
        </is>
      </c>
      <c r="H21" s="26">
        <f>IF(OR(A21="",D21&lt;=0),"",IF(AND(G21="Akcijska",ISNUMBER(F21)),F21,E21)/(D21/1000))</f>
        <v/>
      </c>
      <c r="I21" s="6" t="n"/>
      <c r="J21" s="6" t="n"/>
      <c r="K21" s="6" t="inlineStr">
        <is>
          <t>https://eu.store.bambulab.com/products/pa6-cf</t>
        </is>
      </c>
    </row>
    <row r="22">
      <c r="A22" s="6" t="inlineStr">
        <is>
          <t>Prusament PLA (1 kg)</t>
        </is>
      </c>
      <c r="B22" s="6" t="inlineStr">
        <is>
          <t>Prusa</t>
        </is>
      </c>
      <c r="C22" s="6" t="inlineStr">
        <is>
          <t>PLA</t>
        </is>
      </c>
      <c r="D22" s="30" t="n">
        <v>1000</v>
      </c>
      <c r="E22" s="22" t="n">
        <v>32.99</v>
      </c>
      <c r="F22" s="22" t="n">
        <v>26.39</v>
      </c>
      <c r="G22" s="6" t="inlineStr">
        <is>
          <t>Redna</t>
        </is>
      </c>
      <c r="H22" s="26">
        <f>IF(OR(A22="",D22&lt;=0),"",IF(AND(G22="Akcijska",ISNUMBER(F22)),F22,E22)/(D22/1000))</f>
        <v/>
      </c>
      <c r="I22" s="6" t="n"/>
      <c r="J22" s="6" t="inlineStr">
        <is>
          <t>Akcija -20 %</t>
        </is>
      </c>
      <c r="K22" s="6" t="inlineStr">
        <is>
          <t>https://www.prusa3d.com/de/kategorie/prusament-pla/</t>
        </is>
      </c>
    </row>
    <row r="23">
      <c r="A23" s="6" t="inlineStr">
        <is>
          <t>Prusament PETG (1 kg)</t>
        </is>
      </c>
      <c r="B23" s="6" t="inlineStr">
        <is>
          <t>Prusa</t>
        </is>
      </c>
      <c r="C23" s="6" t="inlineStr">
        <is>
          <t>PETG</t>
        </is>
      </c>
      <c r="D23" s="30" t="n">
        <v>1000</v>
      </c>
      <c r="E23" s="22" t="n">
        <v>32.99</v>
      </c>
      <c r="F23" s="22" t="n">
        <v>26.39</v>
      </c>
      <c r="G23" s="6" t="inlineStr">
        <is>
          <t>Redna</t>
        </is>
      </c>
      <c r="H23" s="26">
        <f>IF(OR(A23="",D23&lt;=0),"",IF(AND(G23="Akcijska",ISNUMBER(F23)),F23,E23)/(D23/1000))</f>
        <v/>
      </c>
      <c r="I23" s="6" t="n"/>
      <c r="J23" s="6" t="inlineStr">
        <is>
          <t>Akcija -20 %</t>
        </is>
      </c>
      <c r="K23" s="6" t="inlineStr">
        <is>
          <t>https://www.prusa3d.com/de/kategorie/prusament-petg/</t>
        </is>
      </c>
    </row>
    <row r="24">
      <c r="A24" s="6" t="inlineStr">
        <is>
          <t>Prusament PETG (2 kg)</t>
        </is>
      </c>
      <c r="B24" s="6" t="inlineStr">
        <is>
          <t>Prusa</t>
        </is>
      </c>
      <c r="C24" s="6" t="inlineStr">
        <is>
          <t>PETG</t>
        </is>
      </c>
      <c r="D24" s="30" t="n">
        <v>2000</v>
      </c>
      <c r="E24" s="22" t="n">
        <v>54.99</v>
      </c>
      <c r="F24" s="22" t="n">
        <v>38.49</v>
      </c>
      <c r="G24" s="6" t="inlineStr">
        <is>
          <t>Redna</t>
        </is>
      </c>
      <c r="H24" s="26">
        <f>IF(OR(A24="",D24&lt;=0),"",IF(AND(G24="Akcijska",ISNUMBER(F24)),F24,E24)/(D24/1000))</f>
        <v/>
      </c>
      <c r="I24" s="6" t="n"/>
      <c r="J24" s="6" t="inlineStr">
        <is>
          <t>Akcija -30 %</t>
        </is>
      </c>
      <c r="K24" s="6" t="inlineStr">
        <is>
          <t>https://www.prusa3d.com/de/kategorie/prusament-petg/</t>
        </is>
      </c>
    </row>
    <row r="25">
      <c r="A25" s="6" t="inlineStr">
        <is>
          <t>Prusament ASA (800 g)</t>
        </is>
      </c>
      <c r="B25" s="6" t="inlineStr">
        <is>
          <t>Prusa</t>
        </is>
      </c>
      <c r="C25" s="6" t="inlineStr">
        <is>
          <t>ASA</t>
        </is>
      </c>
      <c r="D25" s="30" t="n">
        <v>800</v>
      </c>
      <c r="E25" s="22" t="n">
        <v>30.99</v>
      </c>
      <c r="F25" s="22" t="n">
        <v>24.79</v>
      </c>
      <c r="G25" s="6" t="inlineStr">
        <is>
          <t>Redna</t>
        </is>
      </c>
      <c r="H25" s="26">
        <f>IF(OR(A25="",D25&lt;=0),"",IF(AND(G25="Akcijska",ISNUMBER(F25)),F25,E25)/(D25/1000))</f>
        <v/>
      </c>
      <c r="I25" s="6" t="n"/>
      <c r="J25" s="6" t="inlineStr">
        <is>
          <t>Akcija -20 %</t>
        </is>
      </c>
      <c r="K25" s="6" t="inlineStr">
        <is>
          <t>https://www.prusa3d.com/de/kategorie/prusament-asa/</t>
        </is>
      </c>
    </row>
    <row r="26">
      <c r="A26" s="6" t="inlineStr">
        <is>
          <t>Prusament PC Blend (900 g)</t>
        </is>
      </c>
      <c r="B26" s="6" t="inlineStr">
        <is>
          <t>Prusa</t>
        </is>
      </c>
      <c r="C26" s="6" t="inlineStr">
        <is>
          <t>PC</t>
        </is>
      </c>
      <c r="D26" s="30" t="n">
        <v>900</v>
      </c>
      <c r="E26" s="22" t="n">
        <v>50.99</v>
      </c>
      <c r="F26" s="22" t="n">
        <v>30.59</v>
      </c>
      <c r="G26" s="6" t="inlineStr">
        <is>
          <t>Redna</t>
        </is>
      </c>
      <c r="H26" s="26">
        <f>IF(OR(A26="",D26&lt;=0),"",IF(AND(G26="Akcijska",ISNUMBER(F26)),F26,E26)/(D26/1000))</f>
        <v/>
      </c>
      <c r="I26" s="6" t="n"/>
      <c r="J26" s="6" t="inlineStr">
        <is>
          <t>Akcija -40 %</t>
        </is>
      </c>
      <c r="K26" s="6" t="inlineStr">
        <is>
          <t>https://www.prusa3d.com/de/kategorie/prusament-pc-blend/</t>
        </is>
      </c>
    </row>
    <row r="27">
      <c r="A27" s="6" t="inlineStr">
        <is>
          <t>Prusament PA11 Natural najlon (800 g)</t>
        </is>
      </c>
      <c r="B27" s="6" t="inlineStr">
        <is>
          <t>Prusa</t>
        </is>
      </c>
      <c r="C27" s="6" t="inlineStr">
        <is>
          <t>PA</t>
        </is>
      </c>
      <c r="D27" s="30" t="n">
        <v>800</v>
      </c>
      <c r="E27" s="22" t="n">
        <v>107</v>
      </c>
      <c r="F27" s="22" t="n">
        <v>85.59999999999999</v>
      </c>
      <c r="G27" s="6" t="inlineStr">
        <is>
          <t>Redna</t>
        </is>
      </c>
      <c r="H27" s="26">
        <f>IF(OR(A27="",D27&lt;=0),"",IF(AND(G27="Akcijska",ISNUMBER(F27)),F27,E27)/(D27/1000))</f>
        <v/>
      </c>
      <c r="I27" s="6" t="n"/>
      <c r="J27" s="6" t="inlineStr">
        <is>
          <t>Akcija -20 %</t>
        </is>
      </c>
      <c r="K27" s="6" t="inlineStr">
        <is>
          <t>https://www.prusa3d.com/de/kategorie/prusament-pa-nylon/</t>
        </is>
      </c>
    </row>
    <row r="28">
      <c r="A28" s="6" t="inlineStr">
        <is>
          <t>Trček PLA (1 kg)</t>
        </is>
      </c>
      <c r="B28" s="6" t="inlineStr">
        <is>
          <t>Plastika Trček</t>
        </is>
      </c>
      <c r="C28" s="6" t="inlineStr">
        <is>
          <t>PLA</t>
        </is>
      </c>
      <c r="D28" s="30" t="n">
        <v>1000</v>
      </c>
      <c r="E28" s="22" t="n">
        <v>19.49</v>
      </c>
      <c r="F28" s="22" t="n">
        <v>11.69</v>
      </c>
      <c r="G28" s="6" t="inlineStr">
        <is>
          <t>Redna</t>
        </is>
      </c>
      <c r="H28" s="26">
        <f>IF(OR(A28="",D28&lt;=0),"",IF(AND(G28="Akcijska",ISNUMBER(F28)),F28,E28)/(D28/1000))</f>
        <v/>
      </c>
      <c r="I28" s="6" t="inlineStr">
        <is>
          <t>50 °C</t>
        </is>
      </c>
      <c r="J28" s="6" t="inlineStr">
        <is>
          <t>20+ kosov</t>
        </is>
      </c>
      <c r="K28" s="6" t="inlineStr">
        <is>
          <t>https://3dtrcek.com/sl/pla-filament</t>
        </is>
      </c>
    </row>
    <row r="29">
      <c r="A29" s="6" t="inlineStr">
        <is>
          <t>Trček PLA (5 kg)</t>
        </is>
      </c>
      <c r="B29" s="6" t="inlineStr">
        <is>
          <t>Plastika Trček</t>
        </is>
      </c>
      <c r="C29" s="6" t="inlineStr">
        <is>
          <t>PLA</t>
        </is>
      </c>
      <c r="D29" s="30" t="n">
        <v>5000</v>
      </c>
      <c r="E29" s="22" t="n">
        <v>99.95</v>
      </c>
      <c r="F29" s="22" t="n"/>
      <c r="G29" s="6" t="inlineStr">
        <is>
          <t>Redna</t>
        </is>
      </c>
      <c r="H29" s="26">
        <f>IF(OR(A29="",D29&lt;=0),"",IF(AND(G29="Akcijska",ISNUMBER(F29)),F29,E29)/(D29/1000))</f>
        <v/>
      </c>
      <c r="I29" s="6" t="inlineStr">
        <is>
          <t>50 °C</t>
        </is>
      </c>
      <c r="J29" s="6" t="n"/>
      <c r="K29" s="6" t="inlineStr">
        <is>
          <t>https://3dtrcek.com/sl/pla-filament</t>
        </is>
      </c>
    </row>
    <row r="30">
      <c r="A30" s="6" t="inlineStr">
        <is>
          <t>Trček PETG (1 kg)</t>
        </is>
      </c>
      <c r="B30" s="6" t="inlineStr">
        <is>
          <t>Plastika Trček</t>
        </is>
      </c>
      <c r="C30" s="6" t="inlineStr">
        <is>
          <t>PETG</t>
        </is>
      </c>
      <c r="D30" s="30" t="n">
        <v>1000</v>
      </c>
      <c r="E30" s="22" t="n">
        <v>19.49</v>
      </c>
      <c r="F30" s="22" t="n">
        <v>11.69</v>
      </c>
      <c r="G30" s="6" t="inlineStr">
        <is>
          <t>Redna</t>
        </is>
      </c>
      <c r="H30" s="26">
        <f>IF(OR(A30="",D30&lt;=0),"",IF(AND(G30="Akcijska",ISNUMBER(F30)),F30,E30)/(D30/1000))</f>
        <v/>
      </c>
      <c r="I30" s="6" t="inlineStr">
        <is>
          <t>60 °C, 2–4 h</t>
        </is>
      </c>
      <c r="J30" s="6" t="inlineStr">
        <is>
          <t>20+ kosov</t>
        </is>
      </c>
      <c r="K30" s="6" t="inlineStr">
        <is>
          <t>https://3dtrcek.com/sl/petg-filament</t>
        </is>
      </c>
    </row>
    <row r="31">
      <c r="A31" s="6" t="inlineStr">
        <is>
          <t>Trček PETG (10 kg)</t>
        </is>
      </c>
      <c r="B31" s="6" t="inlineStr">
        <is>
          <t>Plastika Trček</t>
        </is>
      </c>
      <c r="C31" s="6" t="inlineStr">
        <is>
          <t>PETG</t>
        </is>
      </c>
      <c r="D31" s="30" t="n">
        <v>10000</v>
      </c>
      <c r="E31" s="22" t="n">
        <v>188.9</v>
      </c>
      <c r="F31" s="22" t="n"/>
      <c r="G31" s="6" t="inlineStr">
        <is>
          <t>Redna</t>
        </is>
      </c>
      <c r="H31" s="26">
        <f>IF(OR(A31="",D31&lt;=0),"",IF(AND(G31="Akcijska",ISNUMBER(F31)),F31,E31)/(D31/1000))</f>
        <v/>
      </c>
      <c r="I31" s="6" t="inlineStr">
        <is>
          <t>60 °C, 2–4 h</t>
        </is>
      </c>
      <c r="J31" s="6" t="n"/>
      <c r="K31" s="6" t="inlineStr">
        <is>
          <t>https://3dtrcek.com/sl/petg-filament</t>
        </is>
      </c>
    </row>
    <row r="32">
      <c r="A32" s="6" t="inlineStr">
        <is>
          <t>Trček ASA+ (800 g)</t>
        </is>
      </c>
      <c r="B32" s="6" t="inlineStr">
        <is>
          <t>Plastika Trček</t>
        </is>
      </c>
      <c r="C32" s="6" t="inlineStr">
        <is>
          <t>ASA</t>
        </is>
      </c>
      <c r="D32" s="30" t="n">
        <v>800</v>
      </c>
      <c r="E32" s="22" t="n">
        <v>21.9</v>
      </c>
      <c r="F32" s="22" t="n">
        <v>13.14</v>
      </c>
      <c r="G32" s="6" t="inlineStr">
        <is>
          <t>Redna</t>
        </is>
      </c>
      <c r="H32" s="26">
        <f>IF(OR(A32="",D32&lt;=0),"",IF(AND(G32="Akcijska",ISNUMBER(F32)),F32,E32)/(D32/1000))</f>
        <v/>
      </c>
      <c r="I32" s="6" t="inlineStr">
        <is>
          <t>60 °C, 4–8 h</t>
        </is>
      </c>
      <c r="J32" s="6" t="inlineStr">
        <is>
          <t>20+ kosov</t>
        </is>
      </c>
      <c r="K32" s="6" t="inlineStr">
        <is>
          <t>https://3dtrcek.com/sl/asa-plus-filament</t>
        </is>
      </c>
    </row>
    <row r="33">
      <c r="A33" s="6" t="inlineStr">
        <is>
          <t>Trček ABS+ (1 kg)</t>
        </is>
      </c>
      <c r="B33" s="6" t="inlineStr">
        <is>
          <t>Plastika Trček</t>
        </is>
      </c>
      <c r="C33" s="6" t="inlineStr">
        <is>
          <t>ABS</t>
        </is>
      </c>
      <c r="D33" s="30" t="n">
        <v>1000</v>
      </c>
      <c r="E33" s="22" t="n">
        <v>21.99</v>
      </c>
      <c r="F33" s="22" t="n"/>
      <c r="G33" s="6" t="inlineStr">
        <is>
          <t>Redna</t>
        </is>
      </c>
      <c r="H33" s="26">
        <f>IF(OR(A33="",D33&lt;=0),"",IF(AND(G33="Akcijska",ISNUMBER(F33)),F33,E33)/(D33/1000))</f>
        <v/>
      </c>
      <c r="I33" s="6" t="inlineStr">
        <is>
          <t>60 °C, 4–8 h</t>
        </is>
      </c>
      <c r="J33" s="6" t="n"/>
      <c r="K33" s="6" t="inlineStr">
        <is>
          <t>https://3dtrcek.com/sl/abs-plus-filament</t>
        </is>
      </c>
    </row>
    <row r="34">
      <c r="A34" s="6" t="inlineStr">
        <is>
          <t>Trček PC (1 kg)</t>
        </is>
      </c>
      <c r="B34" s="6" t="inlineStr">
        <is>
          <t>Plastika Trček</t>
        </is>
      </c>
      <c r="C34" s="6" t="inlineStr">
        <is>
          <t>PC</t>
        </is>
      </c>
      <c r="D34" s="30" t="n">
        <v>1000</v>
      </c>
      <c r="E34" s="22" t="n">
        <v>47.99</v>
      </c>
      <c r="F34" s="22" t="n"/>
      <c r="G34" s="6" t="inlineStr">
        <is>
          <t>Redna</t>
        </is>
      </c>
      <c r="H34" s="26">
        <f>IF(OR(A34="",D34&lt;=0),"",IF(AND(G34="Akcijska",ISNUMBER(F34)),F34,E34)/(D34/1000))</f>
        <v/>
      </c>
      <c r="I34" s="6" t="n"/>
      <c r="J34" s="6" t="n"/>
      <c r="K34" s="6" t="inlineStr">
        <is>
          <t>https://3dtrcek.com/sl/pc-filament</t>
        </is>
      </c>
    </row>
    <row r="35">
      <c r="A35" s="6" t="inlineStr">
        <is>
          <t>Trček Nylon PA12 (700 g)</t>
        </is>
      </c>
      <c r="B35" s="6" t="inlineStr">
        <is>
          <t>Plastika Trček</t>
        </is>
      </c>
      <c r="C35" s="6" t="inlineStr">
        <is>
          <t>PA</t>
        </is>
      </c>
      <c r="D35" s="30" t="n">
        <v>700</v>
      </c>
      <c r="E35" s="22" t="n">
        <v>33.99</v>
      </c>
      <c r="F35" s="22" t="n"/>
      <c r="G35" s="6" t="inlineStr">
        <is>
          <t>Redna</t>
        </is>
      </c>
      <c r="H35" s="26">
        <f>IF(OR(A35="",D35&lt;=0),"",IF(AND(G35="Akcijska",ISNUMBER(F35)),F35,E35)/(D35/1000))</f>
        <v/>
      </c>
      <c r="I35" s="6" t="n"/>
      <c r="J35" s="6" t="n"/>
      <c r="K35" s="6" t="inlineStr">
        <is>
          <t>https://3dtrcek.com/sl/nylon-pa-12-filament</t>
        </is>
      </c>
    </row>
    <row r="36">
      <c r="A36" s="6" t="inlineStr">
        <is>
          <t>Trček PCTG (1 kg)</t>
        </is>
      </c>
      <c r="B36" s="6" t="inlineStr">
        <is>
          <t>Plastika Trček</t>
        </is>
      </c>
      <c r="C36" s="6" t="inlineStr">
        <is>
          <t>PCTG</t>
        </is>
      </c>
      <c r="D36" s="30" t="n">
        <v>1000</v>
      </c>
      <c r="E36" s="22" t="n">
        <v>27.99</v>
      </c>
      <c r="F36" s="22" t="n">
        <v>16.79</v>
      </c>
      <c r="G36" s="6" t="inlineStr">
        <is>
          <t>Redna</t>
        </is>
      </c>
      <c r="H36" s="26">
        <f>IF(OR(A36="",D36&lt;=0),"",IF(AND(G36="Akcijska",ISNUMBER(F36)),F36,E36)/(D36/1000))</f>
        <v/>
      </c>
      <c r="I36" s="6" t="n"/>
      <c r="J36" s="6" t="inlineStr">
        <is>
          <t>20+ kosov</t>
        </is>
      </c>
      <c r="K36" s="6" t="inlineStr">
        <is>
          <t>https://3dtrcek.com/sl/pctg-filament</t>
        </is>
      </c>
    </row>
    <row r="37">
      <c r="A37" s="6" t="n"/>
      <c r="B37" s="6" t="n"/>
      <c r="C37" s="6" t="n"/>
      <c r="D37" s="30" t="n"/>
      <c r="E37" s="22" t="n"/>
      <c r="F37" s="22" t="n"/>
      <c r="G37" s="6" t="n"/>
      <c r="H37" s="26">
        <f>IF(OR(A37="",D37&lt;=0),"",IF(AND(G37="Akcijska",ISNUMBER(F37)),F37,E37)/(D37/1000))</f>
        <v/>
      </c>
      <c r="I37" s="6" t="n"/>
      <c r="J37" s="6" t="n"/>
      <c r="K37" s="6" t="n"/>
    </row>
    <row r="38">
      <c r="A38" s="6" t="n"/>
      <c r="B38" s="6" t="n"/>
      <c r="C38" s="6" t="n"/>
      <c r="D38" s="30" t="n"/>
      <c r="E38" s="22" t="n"/>
      <c r="F38" s="22" t="n"/>
      <c r="G38" s="6" t="n"/>
      <c r="H38" s="26">
        <f>IF(OR(A38="",D38&lt;=0),"",IF(AND(G38="Akcijska",ISNUMBER(F38)),F38,E38)/(D38/1000))</f>
        <v/>
      </c>
      <c r="I38" s="6" t="n"/>
      <c r="J38" s="6" t="n"/>
      <c r="K38" s="6" t="n"/>
    </row>
    <row r="39">
      <c r="A39" s="6" t="n"/>
      <c r="B39" s="6" t="n"/>
      <c r="C39" s="6" t="n"/>
      <c r="D39" s="30" t="n"/>
      <c r="E39" s="22" t="n"/>
      <c r="F39" s="22" t="n"/>
      <c r="G39" s="6" t="n"/>
      <c r="H39" s="26">
        <f>IF(OR(A39="",D39&lt;=0),"",IF(AND(G39="Akcijska",ISNUMBER(F39)),F39,E39)/(D39/1000))</f>
        <v/>
      </c>
      <c r="I39" s="6" t="n"/>
      <c r="J39" s="6" t="n"/>
      <c r="K39" s="6" t="n"/>
    </row>
    <row r="40">
      <c r="A40" s="6" t="n"/>
      <c r="B40" s="6" t="n"/>
      <c r="C40" s="6" t="n"/>
      <c r="D40" s="30" t="n"/>
      <c r="E40" s="22" t="n"/>
      <c r="F40" s="22" t="n"/>
      <c r="G40" s="6" t="n"/>
      <c r="H40" s="26">
        <f>IF(OR(A40="",D40&lt;=0),"",IF(AND(G40="Akcijska",ISNUMBER(F40)),F40,E40)/(D40/1000))</f>
        <v/>
      </c>
      <c r="I40" s="6" t="n"/>
      <c r="J40" s="6" t="n"/>
      <c r="K40" s="6" t="n"/>
    </row>
    <row r="41">
      <c r="A41" s="6" t="n"/>
      <c r="B41" s="6" t="n"/>
      <c r="C41" s="6" t="n"/>
      <c r="D41" s="30" t="n"/>
      <c r="E41" s="22" t="n"/>
      <c r="F41" s="22" t="n"/>
      <c r="G41" s="6" t="n"/>
      <c r="H41" s="26">
        <f>IF(OR(A41="",D41&lt;=0),"",IF(AND(G41="Akcijska",ISNUMBER(F41)),F41,E41)/(D41/1000))</f>
        <v/>
      </c>
      <c r="I41" s="6" t="n"/>
      <c r="J41" s="6" t="n"/>
      <c r="K41" s="6" t="n"/>
    </row>
    <row r="42">
      <c r="A42" s="6" t="n"/>
      <c r="B42" s="6" t="n"/>
      <c r="C42" s="6" t="n"/>
      <c r="D42" s="30" t="n"/>
      <c r="E42" s="22" t="n"/>
      <c r="F42" s="22" t="n"/>
      <c r="G42" s="6" t="n"/>
      <c r="H42" s="26">
        <f>IF(OR(A42="",D42&lt;=0),"",IF(AND(G42="Akcijska",ISNUMBER(F42)),F42,E42)/(D42/1000))</f>
        <v/>
      </c>
      <c r="I42" s="6" t="n"/>
      <c r="J42" s="6" t="n"/>
      <c r="K42" s="6" t="n"/>
    </row>
    <row r="43">
      <c r="A43" s="6" t="n"/>
      <c r="B43" s="6" t="n"/>
      <c r="C43" s="6" t="n"/>
      <c r="D43" s="30" t="n"/>
      <c r="E43" s="22" t="n"/>
      <c r="F43" s="22" t="n"/>
      <c r="G43" s="6" t="n"/>
      <c r="H43" s="26">
        <f>IF(OR(A43="",D43&lt;=0),"",IF(AND(G43="Akcijska",ISNUMBER(F43)),F43,E43)/(D43/1000))</f>
        <v/>
      </c>
      <c r="I43" s="6" t="n"/>
      <c r="J43" s="6" t="n"/>
      <c r="K43" s="6" t="n"/>
    </row>
    <row r="44">
      <c r="A44" s="6" t="n"/>
      <c r="B44" s="6" t="n"/>
      <c r="C44" s="6" t="n"/>
      <c r="D44" s="30" t="n"/>
      <c r="E44" s="22" t="n"/>
      <c r="F44" s="22" t="n"/>
      <c r="G44" s="6" t="n"/>
      <c r="H44" s="26">
        <f>IF(OR(A44="",D44&lt;=0),"",IF(AND(G44="Akcijska",ISNUMBER(F44)),F44,E44)/(D44/1000))</f>
        <v/>
      </c>
      <c r="I44" s="6" t="n"/>
      <c r="J44" s="6" t="n"/>
      <c r="K44" s="6" t="n"/>
    </row>
    <row r="45">
      <c r="A45" s="6" t="n"/>
      <c r="B45" s="6" t="n"/>
      <c r="C45" s="6" t="n"/>
      <c r="D45" s="30" t="n"/>
      <c r="E45" s="22" t="n"/>
      <c r="F45" s="22" t="n"/>
      <c r="G45" s="6" t="n"/>
      <c r="H45" s="26">
        <f>IF(OR(A45="",D45&lt;=0),"",IF(AND(G45="Akcijska",ISNUMBER(F45)),F45,E45)/(D45/1000))</f>
        <v/>
      </c>
      <c r="I45" s="6" t="n"/>
      <c r="J45" s="6" t="n"/>
      <c r="K45" s="6" t="n"/>
    </row>
  </sheetData>
  <dataValidations count="1">
    <dataValidation sqref="G4 G5 G6 G7 G8 G9 G10 G11 G12 G13 G14 G15 G16 G17 G18 G19 G20 G21 G22 G23 G24 G25 G26 G27 G28 G29 G30 G31 G32 G33 G34 G35 G36 G37 G38 G39 G40 G41 G42 G43 G44 G45" showDropDown="0" showInputMessage="0" showErrorMessage="0" allowBlank="0" type="list">
      <formula1>"Redna,Akcijska"</formula1>
    </dataValidation>
  </dataValidations>
  <pageMargins left="0.75" right="0.75" top="1" bottom="1" header="0.5" footer="0.5"/>
</worksheet>
</file>

<file path=xl/worksheets/sheet4.xml><?xml version="1.0" encoding="utf-8"?>
<worksheet xmlns="http://schemas.openxmlformats.org/spreadsheetml/2006/main">
  <sheetPr>
    <tabColor rgb="000F172A"/>
    <outlinePr summaryBelow="1" summaryRight="1"/>
    <pageSetUpPr/>
  </sheetPr>
  <dimension ref="A1:C15"/>
  <sheetViews>
    <sheetView showGridLines="0" workbookViewId="0">
      <selection activeCell="A1" sqref="A1"/>
    </sheetView>
  </sheetViews>
  <sheetFormatPr baseColWidth="8" defaultRowHeight="15"/>
  <cols>
    <col width="38" customWidth="1" min="1" max="1"/>
    <col width="14" customWidth="1" min="2" max="2"/>
    <col width="8" customWidth="1" min="3" max="3"/>
  </cols>
  <sheetData>
    <row r="1">
      <c r="A1" s="1" t="inlineStr">
        <is>
          <t>Cenik storitev</t>
        </is>
      </c>
    </row>
    <row r="3">
      <c r="A3" t="inlineStr">
        <is>
          <t>3D-skeniranje</t>
        </is>
      </c>
      <c r="B3" s="15" t="n">
        <v>20</v>
      </c>
      <c r="C3" t="inlineStr">
        <is>
          <t>€/h</t>
        </is>
      </c>
    </row>
    <row r="4">
      <c r="A4" t="inlineStr">
        <is>
          <t>Urejanje skena</t>
        </is>
      </c>
      <c r="B4" s="15" t="n">
        <v>15</v>
      </c>
      <c r="C4" t="inlineStr">
        <is>
          <t>€/h</t>
        </is>
      </c>
    </row>
    <row r="5">
      <c r="A5" t="inlineStr">
        <is>
          <t>CAD-modeliranje</t>
        </is>
      </c>
      <c r="B5" s="15" t="n">
        <v>20</v>
      </c>
      <c r="C5" t="inlineStr">
        <is>
          <t>€/h</t>
        </is>
      </c>
    </row>
    <row r="6">
      <c r="A6" t="inlineStr">
        <is>
          <t>Zahtevnejši reverse engineering</t>
        </is>
      </c>
      <c r="B6" s="15" t="n">
        <v>25</v>
      </c>
      <c r="C6" t="inlineStr">
        <is>
          <t>€/h</t>
        </is>
      </c>
    </row>
    <row r="7">
      <c r="A7" t="inlineStr">
        <is>
          <t>Priprava tiska in dodelava</t>
        </is>
      </c>
      <c r="B7" s="15" t="n">
        <v>15</v>
      </c>
      <c r="C7" t="inlineStr">
        <is>
          <t>€/h</t>
        </is>
      </c>
    </row>
    <row r="8">
      <c r="A8" t="inlineStr">
        <is>
          <t>Prevoz</t>
        </is>
      </c>
      <c r="B8" s="15" t="n">
        <v>0.3</v>
      </c>
      <c r="C8" t="inlineStr">
        <is>
          <t>€/km</t>
        </is>
      </c>
    </row>
    <row r="9">
      <c r="A9" t="inlineStr">
        <is>
          <t>Minimalno naročilo</t>
        </is>
      </c>
      <c r="B9" s="15" t="n">
        <v>15</v>
      </c>
      <c r="C9" t="inlineStr">
        <is>
          <t>€</t>
        </is>
      </c>
    </row>
    <row r="10">
      <c r="A10" t="inlineStr">
        <is>
          <t>Privzeti pribitek tiska</t>
        </is>
      </c>
      <c r="B10" s="15" t="n">
        <v>100</v>
      </c>
      <c r="C10" t="inlineStr">
        <is>
          <t>%</t>
        </is>
      </c>
    </row>
    <row r="11">
      <c r="A11" t="inlineStr">
        <is>
          <t>Privzeta rezerva za neuspele tiske</t>
        </is>
      </c>
      <c r="B11" s="15" t="n">
        <v>10</v>
      </c>
      <c r="C11" t="inlineStr">
        <is>
          <t>%</t>
        </is>
      </c>
    </row>
    <row r="12">
      <c r="A12" t="inlineStr">
        <is>
          <t>Prijateljski popust (samo storitve)</t>
        </is>
      </c>
      <c r="B12" s="15" t="n">
        <v>15</v>
      </c>
      <c r="C12" t="inlineStr">
        <is>
          <t>%</t>
        </is>
      </c>
    </row>
    <row r="13">
      <c r="A13" t="inlineStr">
        <is>
          <t>Prijatelj: cena na uro tiskanja (namesto pribitka)</t>
        </is>
      </c>
      <c r="B13" s="15" t="n">
        <v>1</v>
      </c>
      <c r="C13" t="inlineStr">
        <is>
          <t>€/h</t>
        </is>
      </c>
    </row>
    <row r="14">
      <c r="A14" t="inlineStr">
        <is>
          <t>Predaja datoteke, ko so storitve že v projektu</t>
        </is>
      </c>
      <c r="B14" s="15" t="n">
        <v>0</v>
      </c>
      <c r="C14" t="inlineStr">
        <is>
          <t>€</t>
        </is>
      </c>
    </row>
    <row r="15">
      <c r="A15" t="inlineStr">
        <is>
          <t>Ponovna prodaja datoteke</t>
        </is>
      </c>
      <c r="B15" s="15" t="n">
        <v>30</v>
      </c>
      <c r="C15" t="inlineStr">
        <is>
          <t>% prvotne</t>
        </is>
      </c>
    </row>
  </sheetData>
  <pageMargins left="0.75" right="0.75" top="1" bottom="1" header="0.5" footer="0.5"/>
</worksheet>
</file>

<file path=xl/worksheets/sheet5.xml><?xml version="1.0" encoding="utf-8"?>
<worksheet xmlns="http://schemas.openxmlformats.org/spreadsheetml/2006/main">
  <sheetPr>
    <tabColor rgb="000F172A"/>
    <outlinePr summaryBelow="1" summaryRight="1"/>
    <pageSetUpPr/>
  </sheetPr>
  <dimension ref="A1:C20"/>
  <sheetViews>
    <sheetView showGridLines="0" workbookViewId="0">
      <selection activeCell="A1" sqref="A1"/>
    </sheetView>
  </sheetViews>
  <sheetFormatPr baseColWidth="8" defaultRowHeight="15"/>
  <cols>
    <col width="40" customWidth="1" min="1" max="1"/>
    <col width="14" customWidth="1" min="2" max="2"/>
    <col width="10" customWidth="1" min="3" max="3"/>
  </cols>
  <sheetData>
    <row r="1">
      <c r="A1" s="1" t="inlineStr">
        <is>
          <t>Poslovne nastavitve</t>
        </is>
      </c>
    </row>
    <row r="3">
      <c r="A3" t="inlineStr">
        <is>
          <t>Ciljna osebna postavka</t>
        </is>
      </c>
      <c r="B3" s="15" t="n">
        <v>15</v>
      </c>
      <c r="C3" t="inlineStr">
        <is>
          <t>€/h</t>
        </is>
      </c>
    </row>
    <row r="4">
      <c r="A4" t="inlineStr">
        <is>
          <t>Obračunljive ure na mesec</t>
        </is>
      </c>
      <c r="B4" s="15" t="n">
        <v>20</v>
      </c>
      <c r="C4" t="inlineStr">
        <is>
          <t>h</t>
        </is>
      </c>
    </row>
    <row r="5">
      <c r="A5" t="inlineStr">
        <is>
          <t>Prispevki in administracija</t>
        </is>
      </c>
      <c r="B5" s="15" t="n">
        <v>138.01</v>
      </c>
      <c r="C5" t="inlineStr">
        <is>
          <t>€/mes</t>
        </is>
      </c>
    </row>
    <row r="6">
      <c r="A6" t="inlineStr">
        <is>
          <t>Cena elektrike</t>
        </is>
      </c>
      <c r="B6" s="15" t="n">
        <v>0.2</v>
      </c>
      <c r="C6" t="inlineStr">
        <is>
          <t>€/kWh</t>
        </is>
      </c>
    </row>
    <row r="7">
      <c r="A7" t="inlineStr">
        <is>
          <t>Davčna rezerva (od prihodka)</t>
        </is>
      </c>
      <c r="B7" s="15" t="n">
        <v>0</v>
      </c>
      <c r="C7" t="inlineStr">
        <is>
          <t>%</t>
        </is>
      </c>
    </row>
    <row r="8">
      <c r="A8" t="inlineStr">
        <is>
          <t>Obračunavam DDV</t>
        </is>
      </c>
      <c r="B8" s="6" t="inlineStr">
        <is>
          <t>NE</t>
        </is>
      </c>
      <c r="C8" t="inlineStr">
        <is>
          <t>DA/NE</t>
        </is>
      </c>
    </row>
    <row r="9">
      <c r="A9" t="inlineStr">
        <is>
          <t>Stopnja DDV</t>
        </is>
      </c>
      <c r="B9" s="15" t="n">
        <v>22</v>
      </c>
      <c r="C9" t="inlineStr">
        <is>
          <t>%</t>
        </is>
      </c>
    </row>
    <row r="11">
      <c r="A11" s="3" t="inlineStr">
        <is>
          <t>Davčna rezerva je privzeto 0 %, ker je odvisna od statusa (normiranec …). Vnesi svojo oceno.</t>
        </is>
      </c>
    </row>
    <row r="13">
      <c r="A13" s="32" t="inlineStr">
        <is>
          <t>Mesečni načrt po ceniku</t>
        </is>
      </c>
    </row>
    <row r="14">
      <c r="A14" t="inlineStr">
        <is>
          <t>Povprečna urna postavka</t>
        </is>
      </c>
      <c r="B14" s="26">
        <f>AVERAGE('Cenik storitev'!$B$3,'Cenik storitev'!$B$4,'Cenik storitev'!$B$5,'Cenik storitev'!$B$6,'Cenik storitev'!$B$7)</f>
        <v/>
      </c>
    </row>
    <row r="15">
      <c r="A15" t="inlineStr">
        <is>
          <t>Prihodek dela na mesec</t>
        </is>
      </c>
      <c r="B15" s="26">
        <f>B4*B14</f>
        <v/>
      </c>
    </row>
    <row r="16">
      <c r="A16" t="inlineStr">
        <is>
          <t>− prispevki in administracija</t>
        </is>
      </c>
      <c r="B16" s="26">
        <f>B5</f>
        <v/>
      </c>
    </row>
    <row r="17">
      <c r="A17" t="inlineStr">
        <is>
          <t>− ocena davka</t>
        </is>
      </c>
      <c r="B17" s="26">
        <f>B15*B7/100</f>
        <v/>
      </c>
    </row>
    <row r="18">
      <c r="A18" t="inlineStr">
        <is>
          <t>Predvideni osebni zaslužek</t>
        </is>
      </c>
      <c r="B18" s="33">
        <f>B15-B16-B17</f>
        <v/>
      </c>
    </row>
    <row r="19">
      <c r="A19" t="inlineStr">
        <is>
          <t>Na uro</t>
        </is>
      </c>
      <c r="B19" s="34">
        <f>IF(B4&gt;0,B18/B4,0)</f>
        <v/>
      </c>
    </row>
    <row r="20">
      <c r="A20" t="inlineStr">
        <is>
          <t>Opozorilo</t>
        </is>
      </c>
      <c r="B20" s="35">
        <f>IF(B19&lt;B3,"Cenik ne doseže ciljne postavke!","Cilj dosežen")</f>
        <v/>
      </c>
    </row>
  </sheetData>
  <dataValidations count="1">
    <dataValidation sqref="B8" showDropDown="0" showInputMessage="0" showErrorMessage="0" allowBlank="0" type="list">
      <formula1>"DA,NE"</formula1>
    </dataValidation>
  </dataValidations>
  <pageMargins left="0.75" right="0.75" top="1" bottom="1" header="0.5" footer="0.5"/>
</worksheet>
</file>

<file path=xl/worksheets/sheet6.xml><?xml version="1.0" encoding="utf-8"?>
<worksheet xmlns="http://schemas.openxmlformats.org/spreadsheetml/2006/main">
  <sheetPr>
    <tabColor rgb="000F172A"/>
    <outlinePr summaryBelow="1" summaryRight="1"/>
    <pageSetUpPr/>
  </sheetPr>
  <dimension ref="A1:G28"/>
  <sheetViews>
    <sheetView showGridLines="0" workbookViewId="0">
      <selection activeCell="A1" sqref="A1"/>
    </sheetView>
  </sheetViews>
  <sheetFormatPr baseColWidth="8" defaultRowHeight="15"/>
  <cols>
    <col width="42" customWidth="1" min="1" max="1"/>
    <col width="9" customWidth="1" min="2" max="2"/>
    <col width="9" customWidth="1" min="3" max="3"/>
    <col width="11" customWidth="1" min="4" max="4"/>
    <col width="13" customWidth="1" min="5" max="5"/>
    <col width="13" customWidth="1" min="6" max="6"/>
    <col width="10" customWidth="1" min="7" max="7"/>
  </cols>
  <sheetData>
    <row r="1">
      <c r="A1" s="1" t="inlineStr">
        <is>
          <t>Prodaja digitalnih datotek</t>
        </is>
      </c>
    </row>
    <row r="3">
      <c r="A3" s="29" t="inlineStr">
        <is>
          <t>Datoteka</t>
        </is>
      </c>
      <c r="B3" s="29" t="inlineStr">
        <is>
          <t>Vklop</t>
        </is>
      </c>
      <c r="C3" s="29" t="inlineStr">
        <is>
          <t>Ure</t>
        </is>
      </c>
      <c r="D3" s="29" t="inlineStr">
        <is>
          <t>Postavka €/h</t>
        </is>
      </c>
      <c r="E3" s="29" t="inlineStr">
        <is>
          <t>Dodatni stroški</t>
        </is>
      </c>
      <c r="F3" s="29" t="inlineStr">
        <is>
          <t>Znesek</t>
        </is>
      </c>
      <c r="G3" s="29" t="inlineStr">
        <is>
          <t>Ure (vklop)</t>
        </is>
      </c>
    </row>
    <row r="4">
      <c r="A4" t="inlineStr">
        <is>
          <t>Surov 3D-sken (OBJ/STL)</t>
        </is>
      </c>
      <c r="B4" s="6" t="inlineStr">
        <is>
          <t>NE</t>
        </is>
      </c>
      <c r="C4" s="15" t="n">
        <v>0</v>
      </c>
      <c r="D4" s="22">
        <f>'Cenik storitev'!$B$3</f>
        <v/>
      </c>
      <c r="E4" s="22" t="n">
        <v>0</v>
      </c>
      <c r="F4" s="26">
        <f>IF(B4="DA",C4*D4+E4,0)</f>
        <v/>
      </c>
      <c r="G4" s="36">
        <f>IF(B4="DA",C4,0)</f>
        <v/>
      </c>
    </row>
    <row r="5">
      <c r="A5" t="inlineStr">
        <is>
          <t>Očiščen in popravljen STL</t>
        </is>
      </c>
      <c r="B5" s="6" t="inlineStr">
        <is>
          <t>NE</t>
        </is>
      </c>
      <c r="C5" s="15" t="n">
        <v>0</v>
      </c>
      <c r="D5" s="22">
        <f>'Cenik storitev'!$B$4</f>
        <v/>
      </c>
      <c r="E5" s="22" t="n">
        <v>0</v>
      </c>
      <c r="F5" s="26">
        <f>IF(B5="DA",C5*D5+E5,0)</f>
        <v/>
      </c>
      <c r="G5" s="36">
        <f>IF(B5="DA",C5,0)</f>
        <v/>
      </c>
    </row>
    <row r="6">
      <c r="A6" t="inlineStr">
        <is>
          <t>CAD-model izvožen v STL</t>
        </is>
      </c>
      <c r="B6" s="6" t="inlineStr">
        <is>
          <t>NE</t>
        </is>
      </c>
      <c r="C6" s="15" t="n">
        <v>0</v>
      </c>
      <c r="D6" s="22">
        <f>'Cenik storitev'!$B$5</f>
        <v/>
      </c>
      <c r="E6" s="22" t="n">
        <v>0</v>
      </c>
      <c r="F6" s="26">
        <f>IF(B6="DA",C6*D6+E6,0)</f>
        <v/>
      </c>
      <c r="G6" s="36">
        <f>IF(B6="DA",C6,0)</f>
        <v/>
      </c>
    </row>
    <row r="7">
      <c r="A7" t="inlineStr">
        <is>
          <t>Parametrični CAD-model, STEP</t>
        </is>
      </c>
      <c r="B7" s="6" t="inlineStr">
        <is>
          <t>NE</t>
        </is>
      </c>
      <c r="C7" s="15" t="n">
        <v>0</v>
      </c>
      <c r="D7" s="22">
        <f>'Cenik storitev'!$B$5</f>
        <v/>
      </c>
      <c r="E7" s="22" t="n">
        <v>0</v>
      </c>
      <c r="F7" s="26">
        <f>IF(B7="DA",C7*D7+E7,0)</f>
        <v/>
      </c>
      <c r="G7" s="36">
        <f>IF(B7="DA",C7,0)</f>
        <v/>
      </c>
    </row>
    <row r="8">
      <c r="A8" t="inlineStr">
        <is>
          <t>Rekonstrukcija STEP iz skena</t>
        </is>
      </c>
      <c r="B8" s="6" t="inlineStr">
        <is>
          <t>NE</t>
        </is>
      </c>
      <c r="C8" s="15" t="n">
        <v>0</v>
      </c>
      <c r="D8" s="22">
        <f>'Cenik storitev'!$B$6</f>
        <v/>
      </c>
      <c r="E8" s="22" t="n">
        <v>0</v>
      </c>
      <c r="F8" s="26">
        <f>IF(B8="DA",C8*D8+E8,0)</f>
        <v/>
      </c>
      <c r="G8" s="36">
        <f>IF(B8="DA",C8,0)</f>
        <v/>
      </c>
    </row>
    <row r="9">
      <c r="A9" t="inlineStr">
        <is>
          <t>Celoten paket STL + STEP + dokumentacija</t>
        </is>
      </c>
      <c r="B9" s="6" t="inlineStr">
        <is>
          <t>NE</t>
        </is>
      </c>
      <c r="C9" s="15" t="n">
        <v>0</v>
      </c>
      <c r="D9" s="22">
        <f>'Cenik storitev'!$B$5</f>
        <v/>
      </c>
      <c r="E9" s="22" t="n">
        <v>0</v>
      </c>
      <c r="F9" s="26">
        <f>IF(B9="DA",C9*D9+E9,0)</f>
        <v/>
      </c>
      <c r="G9" s="36">
        <f>IF(B9="DA",C9,0)</f>
        <v/>
      </c>
    </row>
    <row r="10">
      <c r="A10" s="23" t="inlineStr">
        <is>
          <t>Skupaj</t>
        </is>
      </c>
      <c r="F10" s="33">
        <f>SUM(F4:F9)</f>
        <v/>
      </c>
      <c r="G10" s="36">
        <f>SUM(G4:G9)</f>
        <v/>
      </c>
    </row>
    <row r="12">
      <c r="A12" s="32" t="inlineStr">
        <is>
          <t>Pravice</t>
        </is>
      </c>
    </row>
    <row r="13">
      <c r="A13" t="inlineStr">
        <is>
          <t>Samo fizični izdelek, brez datotek</t>
        </is>
      </c>
      <c r="B13" s="6" t="inlineStr">
        <is>
          <t>DA</t>
        </is>
      </c>
    </row>
    <row r="14">
      <c r="A14" t="inlineStr">
        <is>
          <t>Datoteka za osebno uporabo naročnika</t>
        </is>
      </c>
      <c r="B14" s="6" t="inlineStr">
        <is>
          <t>NE</t>
        </is>
      </c>
    </row>
    <row r="15">
      <c r="A15" t="inlineStr">
        <is>
          <t>Pravica do komercialne uporabe</t>
        </is>
      </c>
      <c r="B15" s="6" t="inlineStr">
        <is>
          <t>NE</t>
        </is>
      </c>
    </row>
    <row r="16">
      <c r="A16" t="inlineStr">
        <is>
          <t>Prenos izvorne CAD-datoteke</t>
        </is>
      </c>
      <c r="B16" s="6" t="inlineStr">
        <is>
          <t>NE</t>
        </is>
      </c>
    </row>
    <row r="18">
      <c r="A18" s="3" t="inlineStr">
        <is>
          <t>Postavka STEP iz CAD (vrstica 7) in rekonstrukcija iz skena (vrstica 8) sta ločeni. Pravice vplivajo na ceno le prek ur in dodatnih stroškov.</t>
        </is>
      </c>
    </row>
    <row r="20">
      <c r="A20" s="32" t="inlineStr">
        <is>
          <t>Samodejna cena datoteke iz ur storitev (Kalkulator C26:C29)</t>
        </is>
      </c>
    </row>
    <row r="21">
      <c r="A21" t="inlineStr">
        <is>
          <t>Vrsta datoteke (Brez / STL / STEP)</t>
        </is>
      </c>
      <c r="B21" s="6" t="inlineStr">
        <is>
          <t>Brez</t>
        </is>
      </c>
      <c r="E21" t="inlineStr">
        <is>
          <t>STL = sken + urejanje</t>
        </is>
      </c>
      <c r="F21" s="26">
        <f>Kalkulator!$C$26*'Cenik storitev'!$B$3+Kalkulator!$C$27*'Cenik storitev'!$B$4</f>
        <v/>
      </c>
    </row>
    <row r="22">
      <c r="A22" t="inlineStr">
        <is>
          <t>Prodaja (Z naročilom / Samostojno / Ponovna)</t>
        </is>
      </c>
      <c r="B22" s="6" t="inlineStr">
        <is>
          <t>Z naročilom</t>
        </is>
      </c>
      <c r="E22" t="inlineStr">
        <is>
          <t>STEP = STL + CAD + zahtevni CAD</t>
        </is>
      </c>
      <c r="F22" s="26">
        <f>F21+Kalkulator!$C$28*'Cenik storitev'!$B$5+Kalkulator!$C$29*'Cenik storitev'!$B$6</f>
        <v/>
      </c>
    </row>
    <row r="23">
      <c r="A23" t="inlineStr">
        <is>
          <t>Ročna cena € (prazno = predlog)</t>
        </is>
      </c>
      <c r="B23" s="22" t="n"/>
      <c r="E23" t="inlineStr">
        <is>
          <t>Prvotna cena izbrane datoteke</t>
        </is>
      </c>
      <c r="F23" s="26">
        <f>IF(B21="STL",F21,IF(B21="STEP",F22,0))</f>
        <v/>
      </c>
    </row>
    <row r="24">
      <c r="E24" t="inlineStr">
        <is>
          <t>Predlog</t>
        </is>
      </c>
      <c r="F24" s="26">
        <f>IF(B21="Brez",0,IF(B22="Z naročilom",'Cenik storitev'!$B$14,IF(B22="Ponovna",F23*'Cenik storitev'!$B$15/100,F23)))</f>
        <v/>
      </c>
    </row>
    <row r="25">
      <c r="E25" t="inlineStr">
        <is>
          <t>CENA DATOTEKE (pred popustom stopnje)</t>
        </is>
      </c>
      <c r="F25" s="33">
        <f>IF(AND(B21&lt;&gt;"Brez",ISNUMBER(B23)),B23,F24)</f>
        <v/>
      </c>
    </row>
    <row r="26">
      <c r="E26" t="inlineStr">
        <is>
          <t>Sken/urejanje ni obračunano kot storitev (1 = da)</t>
        </is>
      </c>
      <c r="F26" s="37">
        <f>IF(AND(B21&lt;&gt;"Brez",B22&lt;&gt;"Z naročilom"),1,0)</f>
        <v/>
      </c>
    </row>
    <row r="27">
      <c r="E27" t="inlineStr">
        <is>
          <t>CAD ni obračunan kot storitev (1 = da)</t>
        </is>
      </c>
      <c r="F27" s="37">
        <f>IF(AND(F26=1,B21="STEP"),1,0)</f>
        <v/>
      </c>
    </row>
    <row r="28">
      <c r="A28" s="3" t="inlineStr">
        <is>
          <t>Z naročilom: storitve so že obračunane, datoteka zastonj ali samo predaja. Samostojno/Ponovna: ure skena/CAD so v ceni datoteke in se ne obračunajo še kot storitve.</t>
        </is>
      </c>
    </row>
  </sheetData>
  <dataValidations count="3">
    <dataValidation sqref="B4 B5 B6 B7 B8 B9 B13 B14 B15 B16" showDropDown="0" showInputMessage="0" showErrorMessage="0" allowBlank="0" type="list">
      <formula1>"DA,NE"</formula1>
    </dataValidation>
    <dataValidation sqref="B21" showDropDown="0" showInputMessage="0" showErrorMessage="0" allowBlank="0" type="list">
      <formula1>"Brez,STL,STEP"</formula1>
    </dataValidation>
    <dataValidation sqref="B22" showDropDown="0" showInputMessage="0" showErrorMessage="0" allowBlank="0" type="list">
      <formula1>"Z naročilom,Samostojno,Ponovna"</formula1>
    </dataValidation>
  </dataValidations>
  <pageMargins left="0.75" right="0.75" top="1" bottom="1" header="0.5" footer="0.5"/>
</worksheet>
</file>

<file path=xl/worksheets/sheet7.xml><?xml version="1.0" encoding="utf-8"?>
<worksheet xmlns="http://schemas.openxmlformats.org/spreadsheetml/2006/main">
  <sheetPr>
    <tabColor rgb="000F172A"/>
    <outlinePr summaryBelow="1" summaryRight="1"/>
    <pageSetUpPr/>
  </sheetPr>
  <dimension ref="A1:M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4" customWidth="1" min="3" max="3"/>
    <col width="11" customWidth="1" min="4" max="4"/>
    <col width="12" customWidth="1" min="5" max="5"/>
    <col width="13" customWidth="1" min="6" max="6"/>
    <col width="13" customWidth="1" min="7" max="7"/>
    <col width="13" customWidth="1" min="8" max="8"/>
    <col width="10" customWidth="1" min="9" max="9"/>
    <col width="10" customWidth="1" min="10" max="10"/>
    <col width="11" customWidth="1" min="11" max="11"/>
    <col width="11" customWidth="1" min="12" max="12"/>
    <col width="24" customWidth="1" min="13" max="13"/>
  </cols>
  <sheetData>
    <row r="1">
      <c r="A1" s="1" t="inlineStr">
        <is>
          <t>Projekti</t>
        </is>
      </c>
    </row>
    <row r="3">
      <c r="A3" s="29" t="inlineStr">
        <is>
          <t>Datum</t>
        </is>
      </c>
      <c r="B3" s="29" t="inlineStr">
        <is>
          <t>Projekt</t>
        </is>
      </c>
      <c r="C3" s="29" t="inlineStr">
        <is>
          <t>Stranka</t>
        </is>
      </c>
      <c r="D3" s="29" t="inlineStr">
        <is>
          <t>Način</t>
        </is>
      </c>
      <c r="E3" s="29" t="inlineStr">
        <is>
          <t>Status</t>
        </is>
      </c>
      <c r="F3" s="29" t="inlineStr">
        <is>
          <t>Končna cena</t>
        </is>
      </c>
      <c r="G3" s="29" t="inlineStr">
        <is>
          <t>Stroški</t>
        </is>
      </c>
      <c r="H3" s="29" t="inlineStr">
        <is>
          <t>Zaslužek</t>
        </is>
      </c>
      <c r="I3" s="29" t="inlineStr">
        <is>
          <t>Ure ocena</t>
        </is>
      </c>
      <c r="J3" s="29" t="inlineStr">
        <is>
          <t>Ure dejansko</t>
        </is>
      </c>
      <c r="K3" s="29" t="inlineStr">
        <is>
          <t>Material g ocena</t>
        </is>
      </c>
      <c r="L3" s="29" t="inlineStr">
        <is>
          <t>Material g dejansko</t>
        </is>
      </c>
      <c r="M3" s="29" t="inlineStr">
        <is>
          <t>Opomba</t>
        </is>
      </c>
    </row>
    <row r="4">
      <c r="A4" s="38" t="n">
        <v>46320</v>
      </c>
      <c r="B4" t="inlineStr">
        <is>
          <t>Nosilci lučk – 2 leva + 2 desna</t>
        </is>
      </c>
      <c r="C4" t="inlineStr">
        <is>
          <t>Demo</t>
        </is>
      </c>
      <c r="D4" t="inlineStr">
        <is>
          <t>Stranka</t>
        </is>
      </c>
      <c r="E4" t="inlineStr">
        <is>
          <t>Osnutek</t>
        </is>
      </c>
      <c r="F4" s="26" t="n">
        <v>132.22</v>
      </c>
      <c r="G4" s="26" t="n">
        <v>35.49</v>
      </c>
      <c r="H4" s="26" t="n">
        <v>72.58</v>
      </c>
      <c r="I4" t="n">
        <v>3.5</v>
      </c>
      <c r="K4" t="n">
        <v>768</v>
      </c>
      <c r="M4" t="inlineStr">
        <is>
          <t>demo</t>
        </is>
      </c>
    </row>
    <row r="5">
      <c r="A5" s="38" t="n"/>
      <c r="F5" s="26" t="n"/>
      <c r="G5" s="26" t="n"/>
      <c r="H5" s="26" t="n"/>
    </row>
    <row r="6">
      <c r="A6" s="38" t="n"/>
      <c r="F6" s="26" t="n"/>
      <c r="G6" s="26" t="n"/>
      <c r="H6" s="26" t="n"/>
    </row>
    <row r="7">
      <c r="A7" s="38" t="n"/>
      <c r="F7" s="26" t="n"/>
      <c r="G7" s="26" t="n"/>
      <c r="H7" s="26" t="n"/>
    </row>
    <row r="8">
      <c r="A8" s="38" t="n"/>
      <c r="F8" s="26" t="n"/>
      <c r="G8" s="26" t="n"/>
      <c r="H8" s="26" t="n"/>
    </row>
    <row r="9">
      <c r="A9" s="38" t="n"/>
      <c r="F9" s="26" t="n"/>
      <c r="G9" s="26" t="n"/>
      <c r="H9" s="26" t="n"/>
    </row>
    <row r="10">
      <c r="A10" s="38" t="n"/>
      <c r="F10" s="26" t="n"/>
      <c r="G10" s="26" t="n"/>
      <c r="H10" s="26" t="n"/>
    </row>
    <row r="11">
      <c r="A11" s="38" t="n"/>
      <c r="F11" s="26" t="n"/>
      <c r="G11" s="26" t="n"/>
      <c r="H11" s="26" t="n"/>
    </row>
    <row r="12">
      <c r="A12" s="38" t="n"/>
      <c r="F12" s="26" t="n"/>
      <c r="G12" s="26" t="n"/>
      <c r="H12" s="26" t="n"/>
    </row>
    <row r="13">
      <c r="A13" s="38" t="n"/>
      <c r="F13" s="26" t="n"/>
      <c r="G13" s="26" t="n"/>
      <c r="H13" s="26" t="n"/>
    </row>
    <row r="14">
      <c r="A14" s="38" t="n"/>
      <c r="F14" s="26" t="n"/>
      <c r="G14" s="26" t="n"/>
      <c r="H14" s="26" t="n"/>
    </row>
    <row r="15">
      <c r="A15" s="38" t="n"/>
      <c r="F15" s="26" t="n"/>
      <c r="G15" s="26" t="n"/>
      <c r="H15" s="26" t="n"/>
    </row>
    <row r="16">
      <c r="A16" s="38" t="n"/>
      <c r="F16" s="26" t="n"/>
      <c r="G16" s="26" t="n"/>
      <c r="H16" s="26" t="n"/>
    </row>
    <row r="17">
      <c r="A17" s="38" t="n"/>
      <c r="F17" s="26" t="n"/>
      <c r="G17" s="26" t="n"/>
      <c r="H17" s="26" t="n"/>
    </row>
    <row r="18">
      <c r="A18" s="38" t="n"/>
      <c r="F18" s="26" t="n"/>
      <c r="G18" s="26" t="n"/>
      <c r="H18" s="26" t="n"/>
    </row>
    <row r="19">
      <c r="A19" s="38" t="n"/>
      <c r="F19" s="26" t="n"/>
      <c r="G19" s="26" t="n"/>
      <c r="H19" s="26" t="n"/>
    </row>
    <row r="20">
      <c r="A20" s="38" t="n"/>
      <c r="F20" s="26" t="n"/>
      <c r="G20" s="26" t="n"/>
      <c r="H20" s="26" t="n"/>
    </row>
    <row r="21">
      <c r="A21" s="38" t="n"/>
      <c r="F21" s="26" t="n"/>
      <c r="G21" s="26" t="n"/>
      <c r="H21" s="26" t="n"/>
    </row>
    <row r="22">
      <c r="A22" s="38" t="n"/>
      <c r="F22" s="26" t="n"/>
      <c r="G22" s="26" t="n"/>
      <c r="H22" s="26" t="n"/>
    </row>
    <row r="23">
      <c r="A23" s="38" t="n"/>
      <c r="F23" s="26" t="n"/>
      <c r="G23" s="26" t="n"/>
      <c r="H23" s="26" t="n"/>
    </row>
    <row r="24">
      <c r="A24" s="38" t="n"/>
      <c r="F24" s="26" t="n"/>
      <c r="G24" s="26" t="n"/>
      <c r="H24" s="26" t="n"/>
    </row>
    <row r="25">
      <c r="A25" s="38" t="n"/>
      <c r="F25" s="26" t="n"/>
      <c r="G25" s="26" t="n"/>
      <c r="H25" s="26" t="n"/>
    </row>
    <row r="26">
      <c r="A26" s="38" t="n"/>
      <c r="F26" s="26" t="n"/>
      <c r="G26" s="26" t="n"/>
      <c r="H26" s="26" t="n"/>
    </row>
    <row r="27">
      <c r="A27" s="38" t="n"/>
      <c r="F27" s="26" t="n"/>
      <c r="G27" s="26" t="n"/>
      <c r="H27" s="26" t="n"/>
    </row>
    <row r="28">
      <c r="A28" s="38" t="n"/>
      <c r="F28" s="26" t="n"/>
      <c r="G28" s="26" t="n"/>
      <c r="H28" s="26" t="n"/>
    </row>
    <row r="29">
      <c r="A29" s="38" t="n"/>
      <c r="F29" s="26" t="n"/>
      <c r="G29" s="26" t="n"/>
      <c r="H29" s="26" t="n"/>
    </row>
    <row r="30">
      <c r="A30" s="38" t="n"/>
      <c r="F30" s="26" t="n"/>
      <c r="G30" s="26" t="n"/>
      <c r="H30" s="26" t="n"/>
    </row>
    <row r="31">
      <c r="A31" s="38" t="n"/>
      <c r="F31" s="26" t="n"/>
      <c r="G31" s="26" t="n"/>
      <c r="H31" s="26" t="n"/>
    </row>
    <row r="32">
      <c r="A32" s="38" t="n"/>
      <c r="F32" s="26" t="n"/>
      <c r="G32" s="26" t="n"/>
      <c r="H32" s="26" t="n"/>
    </row>
    <row r="33">
      <c r="A33" s="38" t="n"/>
      <c r="F33" s="26" t="n"/>
      <c r="G33" s="26" t="n"/>
      <c r="H33" s="26" t="n"/>
    </row>
    <row r="34">
      <c r="A34" s="38" t="n"/>
      <c r="F34" s="26" t="n"/>
      <c r="G34" s="26" t="n"/>
      <c r="H34" s="26" t="n"/>
    </row>
    <row r="35">
      <c r="A35" s="38" t="n"/>
      <c r="F35" s="26" t="n"/>
      <c r="G35" s="26" t="n"/>
      <c r="H35" s="26" t="n"/>
    </row>
    <row r="36">
      <c r="A36" s="38" t="n"/>
      <c r="F36" s="26" t="n"/>
      <c r="G36" s="26" t="n"/>
      <c r="H36" s="26" t="n"/>
    </row>
    <row r="37">
      <c r="A37" s="38" t="n"/>
      <c r="F37" s="26" t="n"/>
      <c r="G37" s="26" t="n"/>
      <c r="H37" s="26" t="n"/>
    </row>
    <row r="38">
      <c r="A38" s="38" t="n"/>
      <c r="F38" s="26" t="n"/>
      <c r="G38" s="26" t="n"/>
      <c r="H38" s="26" t="n"/>
    </row>
    <row r="39">
      <c r="A39" s="38" t="n"/>
      <c r="F39" s="26" t="n"/>
      <c r="G39" s="26" t="n"/>
      <c r="H39" s="26" t="n"/>
    </row>
    <row r="40">
      <c r="A40" s="38" t="n"/>
      <c r="F40" s="26" t="n"/>
      <c r="G40" s="26" t="n"/>
      <c r="H40" s="26" t="n"/>
    </row>
    <row r="41">
      <c r="A41" s="38" t="n"/>
      <c r="F41" s="26" t="n"/>
      <c r="G41" s="26" t="n"/>
      <c r="H41" s="26" t="n"/>
    </row>
    <row r="42">
      <c r="A42" s="38" t="n"/>
      <c r="F42" s="26" t="n"/>
      <c r="G42" s="26" t="n"/>
      <c r="H42" s="26" t="n"/>
    </row>
    <row r="43">
      <c r="A43" s="38" t="n"/>
      <c r="F43" s="26" t="n"/>
      <c r="G43" s="26" t="n"/>
      <c r="H43" s="26" t="n"/>
    </row>
    <row r="44">
      <c r="A44" s="38" t="n"/>
      <c r="F44" s="26" t="n"/>
      <c r="G44" s="26" t="n"/>
      <c r="H44" s="26" t="n"/>
    </row>
    <row r="45">
      <c r="A45" s="38" t="n"/>
      <c r="F45" s="26" t="n"/>
      <c r="G45" s="26" t="n"/>
      <c r="H45" s="26" t="n"/>
    </row>
    <row r="46">
      <c r="A46" s="38" t="n"/>
      <c r="F46" s="26" t="n"/>
      <c r="G46" s="26" t="n"/>
      <c r="H46" s="26" t="n"/>
    </row>
    <row r="47">
      <c r="A47" s="38" t="n"/>
      <c r="F47" s="26" t="n"/>
      <c r="G47" s="26" t="n"/>
      <c r="H47" s="26" t="n"/>
    </row>
    <row r="48">
      <c r="A48" s="38" t="n"/>
      <c r="F48" s="26" t="n"/>
      <c r="G48" s="26" t="n"/>
      <c r="H48" s="26" t="n"/>
    </row>
    <row r="49">
      <c r="A49" s="38" t="n"/>
      <c r="F49" s="26" t="n"/>
      <c r="G49" s="26" t="n"/>
      <c r="H49" s="26" t="n"/>
    </row>
    <row r="50">
      <c r="A50" s="38" t="n"/>
      <c r="F50" s="26" t="n"/>
      <c r="G50" s="26" t="n"/>
      <c r="H50" s="26" t="n"/>
    </row>
    <row r="51">
      <c r="A51" s="38" t="n"/>
      <c r="F51" s="26" t="n"/>
      <c r="G51" s="26" t="n"/>
      <c r="H51" s="26" t="n"/>
    </row>
    <row r="52">
      <c r="A52" s="38" t="n"/>
      <c r="F52" s="26" t="n"/>
      <c r="G52" s="26" t="n"/>
      <c r="H52" s="26" t="n"/>
    </row>
    <row r="53">
      <c r="A53" s="38" t="n"/>
      <c r="F53" s="26" t="n"/>
      <c r="G53" s="26" t="n"/>
      <c r="H53" s="26" t="n"/>
    </row>
    <row r="54">
      <c r="A54" s="38" t="n"/>
      <c r="F54" s="26" t="n"/>
      <c r="G54" s="26" t="n"/>
      <c r="H54" s="26" t="n"/>
    </row>
    <row r="55">
      <c r="A55" s="38" t="n"/>
      <c r="F55" s="26" t="n"/>
      <c r="G55" s="26" t="n"/>
      <c r="H55" s="26" t="n"/>
    </row>
    <row r="56">
      <c r="A56" s="38" t="n"/>
      <c r="F56" s="26" t="n"/>
      <c r="G56" s="26" t="n"/>
      <c r="H56" s="26" t="n"/>
    </row>
    <row r="57">
      <c r="A57" s="38" t="n"/>
      <c r="F57" s="26" t="n"/>
      <c r="G57" s="26" t="n"/>
      <c r="H57" s="26" t="n"/>
    </row>
    <row r="58">
      <c r="A58" s="38" t="n"/>
      <c r="F58" s="26" t="n"/>
      <c r="G58" s="26" t="n"/>
      <c r="H58" s="26" t="n"/>
    </row>
    <row r="59">
      <c r="A59" s="38" t="n"/>
      <c r="F59" s="26" t="n"/>
      <c r="G59" s="26" t="n"/>
      <c r="H59" s="26" t="n"/>
    </row>
    <row r="62">
      <c r="A62" s="3" t="inlineStr">
        <is>
          <t>Vnesi vrednosti iz Kalkulatorja (Kopiraj → Prilepi kot vrednosti), da se zgodovinske ponudbe ne spremenijo.</t>
        </is>
      </c>
    </row>
  </sheetData>
  <dataValidations count="2">
    <dataValidation sqref="E4:E200" showDropDown="0" showInputMessage="0" showErrorMessage="0" allowBlank="0" type="list">
      <formula1>"Osnutek,Ponudba,Potrjeno,V izdelavi,Zaključeno"</formula1>
    </dataValidation>
    <dataValidation sqref="D4:D200" showDropDown="0" showInputMessage="0" showErrorMessage="0" allowBlank="0" type="list">
      <formula1>"Stranka,Prijatelj,Zase"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2026-10-25T20:08:55Z</dcterms:created>
  <dcterms:modified xmlns:dcterms="http://purl.org/dc/terms/" xmlns:xsi="http://www.w3.org/2001/XMLSchema-instance" xsi:type="dcterms:W3CDTF">2026-10-25T20:08:56Z</dcterms:modified>
</cp:coreProperties>
</file>